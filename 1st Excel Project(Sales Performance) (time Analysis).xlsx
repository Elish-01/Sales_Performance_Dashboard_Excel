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nany\OneDrive\Documents\Data analysis\"/>
    </mc:Choice>
  </mc:AlternateContent>
  <xr:revisionPtr revIDLastSave="0" documentId="8_{ECDE45D8-EDE3-4632-AF21-CC89B7AA1A9B}" xr6:coauthVersionLast="47" xr6:coauthVersionMax="47" xr10:uidLastSave="{00000000-0000-0000-0000-000000000000}"/>
  <bookViews>
    <workbookView xWindow="-120" yWindow="-120" windowWidth="20730" windowHeight="11760" activeTab="3" xr2:uid="{C3F0CC43-8FA3-4355-8E68-0AA58D6785E4}"/>
  </bookViews>
  <sheets>
    <sheet name="Dataset" sheetId="3" r:id="rId1"/>
    <sheet name="Pivot" sheetId="5" r:id="rId2"/>
    <sheet name="Dashboard" sheetId="7" r:id="rId3"/>
    <sheet name="Time Series Analysis_" sheetId="9" r:id="rId4"/>
  </sheets>
  <definedNames>
    <definedName name="ExternalData_2" localSheetId="0" hidden="1">Dataset!$A$1:$G$201</definedName>
    <definedName name="Slicer_Product">#N/A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9" l="1"/>
  <c r="C5" i="9"/>
  <c r="C6" i="9"/>
  <c r="C7" i="9"/>
  <c r="C8" i="9"/>
  <c r="C9" i="9"/>
  <c r="C10" i="9"/>
  <c r="C11" i="9"/>
  <c r="C12" i="9"/>
  <c r="C13" i="9"/>
  <c r="C14" i="9"/>
  <c r="C15" i="9"/>
  <c r="C59" i="7"/>
  <c r="B59" i="7"/>
  <c r="C58" i="7"/>
  <c r="B5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A4EE99-8D9E-49D2-8369-671758406E51}" keepAlive="1" name="Query - excel_practice_sales_dataset" description="Connection to the 'excel_practice_sales_dataset' query in the workbook." type="5" refreshedVersion="0" background="1" saveData="1">
    <dbPr connection="Provider=Microsoft.Mashup.OleDb.1;Data Source=$Workbook$;Location=excel_practice_sales_dataset;Extended Properties=&quot;&quot;" command="SELECT * FROM [excel_practice_sales_dataset]"/>
  </connection>
  <connection id="2" xr16:uid="{03AA183B-84A0-4EB6-84A9-95DBAF234D8F}" keepAlive="1" name="Query - excel_practice_sales_dataset (2)" description="Connection to the 'excel_practice_sales_dataset (2)' query in the workbook." type="5" refreshedVersion="8" background="1" saveData="1">
    <dbPr connection="Provider=Microsoft.Mashup.OleDb.1;Data Source=$Workbook$;Location=&quot;excel_practice_sales_dataset (2)&quot;;Extended Properties=&quot;&quot;" command="SELECT * FROM [excel_practice_sales_dataset (2)]"/>
  </connection>
</connections>
</file>

<file path=xl/sharedStrings.xml><?xml version="1.0" encoding="utf-8"?>
<sst xmlns="http://schemas.openxmlformats.org/spreadsheetml/2006/main" count="710" uniqueCount="64">
  <si>
    <t>Date</t>
  </si>
  <si>
    <t>Region</t>
  </si>
  <si>
    <t>Salesperson</t>
  </si>
  <si>
    <t>Product</t>
  </si>
  <si>
    <t>Units Sold</t>
  </si>
  <si>
    <t>Unit Price ($)</t>
  </si>
  <si>
    <t>Revenue ($)</t>
  </si>
  <si>
    <t>North</t>
  </si>
  <si>
    <t>Laptop</t>
  </si>
  <si>
    <t>Mouse</t>
  </si>
  <si>
    <t>Monitor</t>
  </si>
  <si>
    <t>Vikram</t>
  </si>
  <si>
    <t>Headphones</t>
  </si>
  <si>
    <t>West</t>
  </si>
  <si>
    <t>Riya</t>
  </si>
  <si>
    <t>Tablet</t>
  </si>
  <si>
    <t>Printer</t>
  </si>
  <si>
    <t>South</t>
  </si>
  <si>
    <t>Karan</t>
  </si>
  <si>
    <t>East</t>
  </si>
  <si>
    <t>Neha</t>
  </si>
  <si>
    <t>Keyboard</t>
  </si>
  <si>
    <t>Elish</t>
  </si>
  <si>
    <t>Ian</t>
  </si>
  <si>
    <t>Project Objective</t>
  </si>
  <si>
    <t>Evaluate Salesperson Performance</t>
  </si>
  <si>
    <t>Identify Top Performing Products</t>
  </si>
  <si>
    <t>Compare regional Performance</t>
  </si>
  <si>
    <t>Understand Revenue Distribution</t>
  </si>
  <si>
    <t>Row Labels</t>
  </si>
  <si>
    <t>Grand Total</t>
  </si>
  <si>
    <t>Sum of Revenue ($)</t>
  </si>
  <si>
    <t>Revenue Distribution</t>
  </si>
  <si>
    <t>Sum of Units Sold</t>
  </si>
  <si>
    <t>Units Sold Per Product</t>
  </si>
  <si>
    <t>Total Revenue By Products</t>
  </si>
  <si>
    <t>Salesperson Performance</t>
  </si>
  <si>
    <t>Insights</t>
  </si>
  <si>
    <t>☻ Headphone creates the overall highest revenue among Products. ( $ 57,470)</t>
  </si>
  <si>
    <t>♥ In North Region Tablet Creates the highest revenue. ( $ 21,430)</t>
  </si>
  <si>
    <t>♦ Among Saleperson Elish performs the best overall with highest revenue. ( $ 79,280)</t>
  </si>
  <si>
    <t>♣ Printer contributes the least to tatal revenue. ( $ 1,160)</t>
  </si>
  <si>
    <t>♠ 4 products contribute more to the total revenue but overally the revenue is not concentrated but distributes as no product contributes more than 40-50% revenue to total revenue.</t>
  </si>
  <si>
    <t>Revenue By Products ( Descending)</t>
  </si>
  <si>
    <t>Revenue By Salepersons (Des)</t>
  </si>
  <si>
    <t>Revenue By regions (Des)</t>
  </si>
  <si>
    <t>Jan</t>
  </si>
  <si>
    <t>Feb</t>
  </si>
  <si>
    <t>Mar</t>
  </si>
  <si>
    <t>Apr</t>
  </si>
  <si>
    <t>May</t>
  </si>
  <si>
    <t>Jun</t>
  </si>
  <si>
    <t>Jul</t>
  </si>
  <si>
    <t>Aug</t>
  </si>
  <si>
    <t>Sep</t>
  </si>
  <si>
    <t>Oct</t>
  </si>
  <si>
    <t>Nov</t>
  </si>
  <si>
    <t>Dec</t>
  </si>
  <si>
    <t xml:space="preserve">☻ May Month has the highest growth ( $39,340 ) </t>
  </si>
  <si>
    <t>☻ September  is the month where revenue dropped to the lowest. ($19,190 )</t>
  </si>
  <si>
    <t>Months</t>
  </si>
  <si>
    <t>☻ Revenue shows Fluctualtions throught out the year , with peaks in May and August , and a significant drop in September, indicating inconsistent sales performance rather than steady growth</t>
  </si>
  <si>
    <t>☻ The spike in May may indicate seasonal demand or promotional activity, while the drop in september indicates a significant sales slowdown period and a need for business attention.</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</si>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</sst>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4" x14ac:knownFonts="1">
    <font>
      <sz val="11"/>
      <color theme="1"/>
      <name val="Calibri"/>
      <family val="2"/>
      <scheme val="minor"/>
    </font>
    <font>
      <b/>
      <sz val="11"/>
      <color theme="1"/>
      <name val="Calibri"/>
      <family val="2"/>
      <scheme val="minor"/>
    </font>
    <font>
      <b/>
      <sz val="11"/>
      <color rgb="FFFFFF00"/>
      <name val="Calibri"/>
      <family val="2"/>
      <scheme val="minor"/>
    </font>
    <font>
      <u/>
      <sz val="11"/>
      <color theme="1"/>
      <name val="Calibri"/>
      <family val="2"/>
      <scheme val="minor"/>
    </font>
  </fonts>
  <fills count="4">
    <fill>
      <patternFill patternType="none"/>
    </fill>
    <fill>
      <patternFill patternType="gray125"/>
    </fill>
    <fill>
      <patternFill patternType="solid">
        <fgColor theme="3"/>
        <bgColor indexed="64"/>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2" fontId="0" fillId="0" borderId="0" xfId="0" applyNumberFormat="1"/>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3" fillId="0" borderId="0" xfId="0" applyFont="1"/>
    <xf numFmtId="0" fontId="2" fillId="3" borderId="0" xfId="0" applyFont="1" applyFill="1"/>
    <xf numFmtId="0" fontId="3" fillId="0" borderId="0" xfId="0" applyFont="1" applyAlignment="1">
      <alignment horizontal="center"/>
    </xf>
    <xf numFmtId="0" fontId="2" fillId="2" borderId="0" xfId="0" applyFont="1" applyFill="1" applyAlignment="1">
      <alignment horizontal="center"/>
    </xf>
    <xf numFmtId="0" fontId="0" fillId="0" borderId="0" xfId="0" applyNumberFormat="1"/>
  </cellXfs>
  <cellStyles count="1">
    <cellStyle name="Normal" xfId="0" builtinId="0"/>
  </cellStyles>
  <dxfs count="8">
    <dxf>
      <font>
        <color rgb="FFFF0000"/>
      </font>
    </dxf>
    <dxf>
      <font>
        <b/>
      </font>
    </dxf>
    <dxf>
      <font>
        <b/>
      </font>
    </dxf>
    <dxf>
      <numFmt numFmtId="164" formatCode="_-[$$-409]* #,##0.00_ ;_-[$$-409]* \-#,##0.00\ ;_-[$$-409]* &quot;-&quot;??_ ;_-@_ "/>
    </dxf>
    <dxf>
      <numFmt numFmtId="0" formatCode="General"/>
    </dxf>
    <dxf>
      <numFmt numFmtId="0" formatCode="General"/>
    </dxf>
    <dxf>
      <numFmt numFmtId="0" formatCode="Genera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Excel Project(Sales Performance) (time Analysis).xlsx]Dashboard!PivotTable19</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Dashboard!$A$14:$A$21</c:f>
              <c:strCache>
                <c:ptCount val="7"/>
                <c:pt idx="0">
                  <c:v>Headphones</c:v>
                </c:pt>
                <c:pt idx="1">
                  <c:v>Monitor</c:v>
                </c:pt>
                <c:pt idx="2">
                  <c:v>Keyboard</c:v>
                </c:pt>
                <c:pt idx="3">
                  <c:v>Mouse</c:v>
                </c:pt>
                <c:pt idx="4">
                  <c:v>Printer</c:v>
                </c:pt>
                <c:pt idx="5">
                  <c:v>Tablet</c:v>
                </c:pt>
                <c:pt idx="6">
                  <c:v>Laptop</c:v>
                </c:pt>
              </c:strCache>
            </c:strRef>
          </c:cat>
          <c:val>
            <c:numRef>
              <c:f>Dashboard!$B$14:$B$21</c:f>
              <c:numCache>
                <c:formatCode>_-[$$-409]* #,##0.00_ ;_-[$$-409]* \-#,##0.00\ ;_-[$$-409]* "-"??_ ;_-@_ </c:formatCode>
                <c:ptCount val="7"/>
                <c:pt idx="0">
                  <c:v>57470</c:v>
                </c:pt>
                <c:pt idx="1">
                  <c:v>52790</c:v>
                </c:pt>
                <c:pt idx="2">
                  <c:v>49950</c:v>
                </c:pt>
                <c:pt idx="3">
                  <c:v>48670</c:v>
                </c:pt>
                <c:pt idx="4">
                  <c:v>47460</c:v>
                </c:pt>
                <c:pt idx="5">
                  <c:v>45540</c:v>
                </c:pt>
                <c:pt idx="6">
                  <c:v>34050</c:v>
                </c:pt>
              </c:numCache>
            </c:numRef>
          </c:val>
          <c:extLst>
            <c:ext xmlns:c16="http://schemas.microsoft.com/office/drawing/2014/chart" uri="{C3380CC4-5D6E-409C-BE32-E72D297353CC}">
              <c16:uniqueId val="{00000000-F518-4F7D-8B68-10728274DD45}"/>
            </c:ext>
          </c:extLst>
        </c:ser>
        <c:dLbls>
          <c:dLblPos val="outEnd"/>
          <c:showLegendKey val="0"/>
          <c:showVal val="1"/>
          <c:showCatName val="0"/>
          <c:showSerName val="0"/>
          <c:showPercent val="0"/>
          <c:showBubbleSize val="0"/>
        </c:dLbls>
        <c:gapWidth val="164"/>
        <c:overlap val="-22"/>
        <c:axId val="613976880"/>
        <c:axId val="613967760"/>
      </c:barChart>
      <c:catAx>
        <c:axId val="61397688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967760"/>
        <c:crosses val="autoZero"/>
        <c:auto val="1"/>
        <c:lblAlgn val="ctr"/>
        <c:lblOffset val="100"/>
        <c:noMultiLvlLbl val="0"/>
      </c:catAx>
      <c:valAx>
        <c:axId val="613967760"/>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97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Excel Project(Sales Performance) (time Analysis).xlsx]Dashboard!PivotTable21</c:name>
    <c:fmtId val="1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revenue</a:t>
            </a:r>
            <a:r>
              <a:rPr lang="en-US" baseline="0"/>
              <a:t> by salesperson</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Dashboard!$B$38</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Dashboard!$A$39:$A$45</c:f>
              <c:strCache>
                <c:ptCount val="6"/>
                <c:pt idx="0">
                  <c:v>Elish</c:v>
                </c:pt>
                <c:pt idx="1">
                  <c:v>Neha</c:v>
                </c:pt>
                <c:pt idx="2">
                  <c:v>Ian</c:v>
                </c:pt>
                <c:pt idx="3">
                  <c:v>Riya</c:v>
                </c:pt>
                <c:pt idx="4">
                  <c:v>Karan</c:v>
                </c:pt>
                <c:pt idx="5">
                  <c:v>Vikram</c:v>
                </c:pt>
              </c:strCache>
            </c:strRef>
          </c:cat>
          <c:val>
            <c:numRef>
              <c:f>Dashboard!$B$39:$B$45</c:f>
              <c:numCache>
                <c:formatCode>_-[$$-409]* #,##0.00_ ;_-[$$-409]* \-#,##0.00\ ;_-[$$-409]* "-"??_ ;_-@_ </c:formatCode>
                <c:ptCount val="6"/>
                <c:pt idx="0">
                  <c:v>79280</c:v>
                </c:pt>
                <c:pt idx="1">
                  <c:v>59620</c:v>
                </c:pt>
                <c:pt idx="2">
                  <c:v>56270</c:v>
                </c:pt>
                <c:pt idx="3">
                  <c:v>51990</c:v>
                </c:pt>
                <c:pt idx="4">
                  <c:v>44750</c:v>
                </c:pt>
                <c:pt idx="5">
                  <c:v>44020</c:v>
                </c:pt>
              </c:numCache>
            </c:numRef>
          </c:val>
          <c:extLst>
            <c:ext xmlns:c16="http://schemas.microsoft.com/office/drawing/2014/chart" uri="{C3380CC4-5D6E-409C-BE32-E72D297353CC}">
              <c16:uniqueId val="{00000000-F2C5-4FA0-A6BA-CF35E6B9D4A1}"/>
            </c:ext>
          </c:extLst>
        </c:ser>
        <c:dLbls>
          <c:dLblPos val="ctr"/>
          <c:showLegendKey val="0"/>
          <c:showVal val="1"/>
          <c:showCatName val="0"/>
          <c:showSerName val="0"/>
          <c:showPercent val="0"/>
          <c:showBubbleSize val="0"/>
        </c:dLbls>
        <c:gapWidth val="150"/>
        <c:overlap val="100"/>
        <c:axId val="612004560"/>
        <c:axId val="612006480"/>
      </c:barChart>
      <c:catAx>
        <c:axId val="61200456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006480"/>
        <c:crosses val="autoZero"/>
        <c:auto val="1"/>
        <c:lblAlgn val="ctr"/>
        <c:lblOffset val="100"/>
        <c:noMultiLvlLbl val="0"/>
      </c:catAx>
      <c:valAx>
        <c:axId val="612006480"/>
        <c:scaling>
          <c:orientation val="minMax"/>
        </c:scaling>
        <c:delete val="0"/>
        <c:axPos val="l"/>
        <c:majorGridlines>
          <c:spPr>
            <a:ln>
              <a:solidFill>
                <a:schemeClr val="tx1">
                  <a:lumMod val="15000"/>
                  <a:lumOff val="85000"/>
                </a:schemeClr>
              </a:solidFill>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00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Excel Project(Sales Performance) (time Analysis).xlsx]Time Series Analysis_!PivotTable1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 Revenue Trend Analysis</a:t>
            </a:r>
            <a:r>
              <a:rPr lang="en-US" baseline="0"/>
              <a:t> (2024)</a:t>
            </a:r>
            <a:endParaRPr lang="en-US"/>
          </a:p>
        </c:rich>
      </c:tx>
      <c:layout>
        <c:manualLayout>
          <c:xMode val="edge"/>
          <c:yMode val="edge"/>
          <c:x val="0.18179855643044621"/>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3"/>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76181102362206"/>
          <c:y val="0.20309966462525517"/>
          <c:w val="0.64740441819772532"/>
          <c:h val="0.53774387576552929"/>
        </c:manualLayout>
      </c:layout>
      <c:lineChart>
        <c:grouping val="standard"/>
        <c:varyColors val="0"/>
        <c:ser>
          <c:idx val="0"/>
          <c:order val="0"/>
          <c:tx>
            <c:strRef>
              <c:f>'Time Series Analysis_'!$B$3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dLbl>
              <c:idx val="3"/>
              <c:delete val="1"/>
              <c:extLst>
                <c:ext xmlns:c15="http://schemas.microsoft.com/office/drawing/2012/chart" uri="{CE6537A1-D6FC-4f65-9D91-7224C49458BB}"/>
                <c:ext xmlns:c16="http://schemas.microsoft.com/office/drawing/2014/chart" uri="{C3380CC4-5D6E-409C-BE32-E72D297353CC}">
                  <c16:uniqueId val="{00000005-44E6-435A-B55B-A7918CD4F95D}"/>
                </c:ext>
              </c:extLst>
            </c:dLbl>
            <c:dLbl>
              <c:idx val="5"/>
              <c:delete val="1"/>
              <c:extLst>
                <c:ext xmlns:c15="http://schemas.microsoft.com/office/drawing/2012/chart" uri="{CE6537A1-D6FC-4f65-9D91-7224C49458BB}"/>
                <c:ext xmlns:c16="http://schemas.microsoft.com/office/drawing/2014/chart" uri="{C3380CC4-5D6E-409C-BE32-E72D297353CC}">
                  <c16:uniqueId val="{0000001D-44E6-435A-B55B-A7918CD4F95D}"/>
                </c:ext>
              </c:extLst>
            </c:dLbl>
            <c:dLbl>
              <c:idx val="6"/>
              <c:delete val="1"/>
              <c:extLst>
                <c:ext xmlns:c15="http://schemas.microsoft.com/office/drawing/2012/chart" uri="{CE6537A1-D6FC-4f65-9D91-7224C49458BB}"/>
                <c:ext xmlns:c16="http://schemas.microsoft.com/office/drawing/2014/chart" uri="{C3380CC4-5D6E-409C-BE32-E72D297353CC}">
                  <c16:uniqueId val="{00000006-44E6-435A-B55B-A7918CD4F95D}"/>
                </c:ext>
              </c:extLst>
            </c:dLbl>
            <c:dLbl>
              <c:idx val="7"/>
              <c:delete val="1"/>
              <c:extLst>
                <c:ext xmlns:c15="http://schemas.microsoft.com/office/drawing/2012/chart" uri="{CE6537A1-D6FC-4f65-9D91-7224C49458BB}"/>
                <c:ext xmlns:c16="http://schemas.microsoft.com/office/drawing/2014/chart" uri="{C3380CC4-5D6E-409C-BE32-E72D297353CC}">
                  <c16:uniqueId val="{0000001E-44E6-435A-B55B-A7918CD4F95D}"/>
                </c:ext>
              </c:extLst>
            </c:dLbl>
            <c:dLbl>
              <c:idx val="9"/>
              <c:delete val="1"/>
              <c:extLst>
                <c:ext xmlns:c15="http://schemas.microsoft.com/office/drawing/2012/chart" uri="{CE6537A1-D6FC-4f65-9D91-7224C49458BB}"/>
                <c:ext xmlns:c16="http://schemas.microsoft.com/office/drawing/2014/chart" uri="{C3380CC4-5D6E-409C-BE32-E72D297353CC}">
                  <c16:uniqueId val="{0000001F-44E6-435A-B55B-A7918CD4F95D}"/>
                </c:ext>
              </c:extLst>
            </c:dLbl>
            <c:dLbl>
              <c:idx val="10"/>
              <c:delete val="1"/>
              <c:extLst>
                <c:ext xmlns:c15="http://schemas.microsoft.com/office/drawing/2012/chart" uri="{CE6537A1-D6FC-4f65-9D91-7224C49458BB}"/>
                <c:ext xmlns:c16="http://schemas.microsoft.com/office/drawing/2014/chart" uri="{C3380CC4-5D6E-409C-BE32-E72D297353CC}">
                  <c16:uniqueId val="{00000021-44E6-435A-B55B-A7918CD4F95D}"/>
                </c:ext>
              </c:extLst>
            </c:dLbl>
            <c:dLbl>
              <c:idx val="11"/>
              <c:delete val="1"/>
              <c:extLst>
                <c:ext xmlns:c15="http://schemas.microsoft.com/office/drawing/2012/chart" uri="{CE6537A1-D6FC-4f65-9D91-7224C49458BB}"/>
                <c:ext xmlns:c16="http://schemas.microsoft.com/office/drawing/2014/chart" uri="{C3380CC4-5D6E-409C-BE32-E72D297353CC}">
                  <c16:uniqueId val="{00000020-44E6-435A-B55B-A7918CD4F9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'Time Series Analysis_'!$A$4:$A$16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 Series Analysis_'!$B$4:$B$16</c:f>
              <c:numCache>
                <c:formatCode>_-[$$-409]* #,##0.00_ ;_-[$$-409]* \-#,##0.00\ ;_-[$$-409]* "-"??_ ;_-@_ </c:formatCode>
                <c:ptCount val="12"/>
                <c:pt idx="0">
                  <c:v>22830</c:v>
                </c:pt>
                <c:pt idx="1">
                  <c:v>29180</c:v>
                </c:pt>
                <c:pt idx="2">
                  <c:v>31100</c:v>
                </c:pt>
                <c:pt idx="3">
                  <c:v>21040</c:v>
                </c:pt>
                <c:pt idx="4">
                  <c:v>39340</c:v>
                </c:pt>
                <c:pt idx="5">
                  <c:v>25770</c:v>
                </c:pt>
                <c:pt idx="6">
                  <c:v>30360</c:v>
                </c:pt>
                <c:pt idx="7">
                  <c:v>33680</c:v>
                </c:pt>
                <c:pt idx="8">
                  <c:v>19190</c:v>
                </c:pt>
                <c:pt idx="9">
                  <c:v>31630</c:v>
                </c:pt>
                <c:pt idx="10">
                  <c:v>19450</c:v>
                </c:pt>
                <c:pt idx="11">
                  <c:v>32360</c:v>
                </c:pt>
              </c:numCache>
            </c:numRef>
          </c:val>
          <c:smooth val="0"/>
          <c:extLst>
            <c:ext xmlns:c16="http://schemas.microsoft.com/office/drawing/2014/chart" uri="{C3380CC4-5D6E-409C-BE32-E72D297353CC}">
              <c16:uniqueId val="{00000000-44E6-435A-B55B-A7918CD4F95D}"/>
            </c:ext>
          </c:extLst>
        </c:ser>
        <c:dLbls>
          <c:dLblPos val="t"/>
          <c:showLegendKey val="0"/>
          <c:showVal val="1"/>
          <c:showCatName val="0"/>
          <c:showSerName val="0"/>
          <c:showPercent val="0"/>
          <c:showBubbleSize val="0"/>
        </c:dLbls>
        <c:marker val="1"/>
        <c:smooth val="0"/>
        <c:axId val="1742458960"/>
        <c:axId val="1742444080"/>
      </c:lineChart>
      <c:catAx>
        <c:axId val="174245896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2444080"/>
        <c:crosses val="autoZero"/>
        <c:auto val="1"/>
        <c:lblAlgn val="ctr"/>
        <c:lblOffset val="100"/>
        <c:noMultiLvlLbl val="0"/>
      </c:catAx>
      <c:valAx>
        <c:axId val="1742444080"/>
        <c:scaling>
          <c:orientation val="minMax"/>
        </c:scaling>
        <c:delete val="0"/>
        <c:axPos val="l"/>
        <c:majorGridlines>
          <c:spPr>
            <a:ln w="9525" cap="flat" cmpd="sng" algn="ctr">
              <a:solidFill>
                <a:schemeClr val="tx2">
                  <a:lumMod val="15000"/>
                  <a:lumOff val="85000"/>
                </a:schemeClr>
              </a:solid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245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323850</xdr:colOff>
      <xdr:row>14</xdr:row>
      <xdr:rowOff>47625</xdr:rowOff>
    </xdr:from>
    <xdr:to>
      <xdr:col>12</xdr:col>
      <xdr:colOff>19050</xdr:colOff>
      <xdr:row>28</xdr:row>
      <xdr:rowOff>123825</xdr:rowOff>
    </xdr:to>
    <xdr:graphicFrame macro="">
      <xdr:nvGraphicFramePr>
        <xdr:cNvPr id="2" name="Chart 1">
          <a:extLst>
            <a:ext uri="{FF2B5EF4-FFF2-40B4-BE49-F238E27FC236}">
              <a16:creationId xmlns:a16="http://schemas.microsoft.com/office/drawing/2014/main" id="{97B6892F-8B11-5794-DFA0-1E7940421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276225</xdr:colOff>
      <xdr:row>31</xdr:row>
      <xdr:rowOff>66675</xdr:rowOff>
    </xdr:from>
    <xdr:to>
      <xdr:col>11</xdr:col>
      <xdr:colOff>581025</xdr:colOff>
      <xdr:row>45</xdr:row>
      <xdr:rowOff>142875</xdr:rowOff>
    </xdr:to>
    <xdr:graphicFrame macro="">
      <xdr:nvGraphicFramePr>
        <xdr:cNvPr id="4" name="Chart 3">
          <a:extLst>
            <a:ext uri="{FF2B5EF4-FFF2-40B4-BE49-F238E27FC236}">
              <a16:creationId xmlns:a16="http://schemas.microsoft.com/office/drawing/2014/main" id="{AC18188C-946B-75D0-6A6E-184D9B63F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247650</xdr:colOff>
      <xdr:row>14</xdr:row>
      <xdr:rowOff>0</xdr:rowOff>
    </xdr:from>
    <xdr:to>
      <xdr:col>15</xdr:col>
      <xdr:colOff>247650</xdr:colOff>
      <xdr:row>27</xdr:row>
      <xdr:rowOff>47625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772764B0-3093-F117-9B6A-A8EA1E50CD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58200" y="381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xdr:colOff>
      <xdr:row>29</xdr:row>
      <xdr:rowOff>19050</xdr:rowOff>
    </xdr:from>
    <xdr:to>
      <xdr:col>15</xdr:col>
      <xdr:colOff>38100</xdr:colOff>
      <xdr:row>42</xdr:row>
      <xdr:rowOff>66675</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379D581A-6527-17CB-E96F-267957BDAF4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248650" y="3257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47624</xdr:colOff>
      <xdr:row>0</xdr:row>
      <xdr:rowOff>171450</xdr:rowOff>
    </xdr:from>
    <xdr:to>
      <xdr:col>2</xdr:col>
      <xdr:colOff>95249</xdr:colOff>
      <xdr:row>5</xdr:row>
      <xdr:rowOff>133350</xdr:rowOff>
    </xdr:to>
    <xdr:sp macro="" textlink="B58">
      <xdr:nvSpPr>
        <xdr:cNvPr id="10" name="Rectangle: Top Corners Rounded 9">
          <a:extLst>
            <a:ext uri="{FF2B5EF4-FFF2-40B4-BE49-F238E27FC236}">
              <a16:creationId xmlns:a16="http://schemas.microsoft.com/office/drawing/2014/main" id="{D7F7C274-F827-5B6E-32E2-898B7A675A92}"/>
            </a:ext>
          </a:extLst>
        </xdr:cNvPr>
        <xdr:cNvSpPr/>
      </xdr:nvSpPr>
      <xdr:spPr>
        <a:xfrm>
          <a:off x="923924" y="171450"/>
          <a:ext cx="1285875" cy="914400"/>
        </a:xfrm>
        <a:prstGeom prst="round2Same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6D796C2-EBDD-4B15-98B5-5B278BE848A1}" type="TxLink">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l"/>
            <a:t> $3,35,930.00 </a:t>
          </a:fld>
          <a:endPar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a:p>
          <a:pPr algn="l"/>
          <a: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(Total Revenue)</a:t>
          </a:r>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600075</xdr:colOff>
      <xdr:row>1</xdr:row>
      <xdr:rowOff>0</xdr:rowOff>
    </xdr:from>
    <xdr:to>
      <xdr:col>4</xdr:col>
      <xdr:colOff>666750</xdr:colOff>
      <xdr:row>5</xdr:row>
      <xdr:rowOff>152400</xdr:rowOff>
    </xdr:to>
    <xdr:sp macro="" textlink="B59">
      <xdr:nvSpPr>
        <xdr:cNvPr id="11" name="Rectangle: Top Corners Rounded 10">
          <a:extLst>
            <a:ext uri="{FF2B5EF4-FFF2-40B4-BE49-F238E27FC236}">
              <a16:creationId xmlns:a16="http://schemas.microsoft.com/office/drawing/2014/main" id="{485337E1-789B-4D85-8D9B-A2BFFC17738E}"/>
            </a:ext>
          </a:extLst>
        </xdr:cNvPr>
        <xdr:cNvSpPr/>
      </xdr:nvSpPr>
      <xdr:spPr>
        <a:xfrm>
          <a:off x="2714625" y="190500"/>
          <a:ext cx="1285875" cy="914400"/>
        </a:xfrm>
        <a:prstGeom prst="round2Same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D6348E9-1AC1-433C-895C-B7843A7B7838}" type="TxLink">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l"/>
            <a:t>1062</a:t>
          </a:fld>
          <a:endPar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a:p>
          <a:pPr algn="l"/>
          <a: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(Total Units Sold)</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333375</xdr:colOff>
      <xdr:row>1</xdr:row>
      <xdr:rowOff>19050</xdr:rowOff>
    </xdr:from>
    <xdr:to>
      <xdr:col>7</xdr:col>
      <xdr:colOff>400050</xdr:colOff>
      <xdr:row>5</xdr:row>
      <xdr:rowOff>171450</xdr:rowOff>
    </xdr:to>
    <xdr:sp macro="" textlink="C58">
      <xdr:nvSpPr>
        <xdr:cNvPr id="12" name="Rectangle: Top Corners Rounded 11">
          <a:extLst>
            <a:ext uri="{FF2B5EF4-FFF2-40B4-BE49-F238E27FC236}">
              <a16:creationId xmlns:a16="http://schemas.microsoft.com/office/drawing/2014/main" id="{2468FF3F-99D8-43D2-9E48-2D91B2DE77E0}"/>
            </a:ext>
          </a:extLst>
        </xdr:cNvPr>
        <xdr:cNvSpPr/>
      </xdr:nvSpPr>
      <xdr:spPr>
        <a:xfrm>
          <a:off x="4562475" y="209550"/>
          <a:ext cx="1285875" cy="914400"/>
        </a:xfrm>
        <a:prstGeom prst="round2Same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79387B9-C958-41B7-964A-8F31FAC5C5AD}" type="TxLink">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l"/>
            <a:t>Headphones</a:t>
          </a:fld>
          <a:endPar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a:p>
          <a:pPr algn="l"/>
          <a: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(Top Product)</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333375</xdr:colOff>
      <xdr:row>1</xdr:row>
      <xdr:rowOff>28575</xdr:rowOff>
    </xdr:from>
    <xdr:to>
      <xdr:col>10</xdr:col>
      <xdr:colOff>400050</xdr:colOff>
      <xdr:row>5</xdr:row>
      <xdr:rowOff>180975</xdr:rowOff>
    </xdr:to>
    <xdr:sp macro="" textlink="C59">
      <xdr:nvSpPr>
        <xdr:cNvPr id="13" name="Rectangle: Top Corners Rounded 12">
          <a:extLst>
            <a:ext uri="{FF2B5EF4-FFF2-40B4-BE49-F238E27FC236}">
              <a16:creationId xmlns:a16="http://schemas.microsoft.com/office/drawing/2014/main" id="{174E5C52-21D9-422B-8052-FDF53931C677}"/>
            </a:ext>
          </a:extLst>
        </xdr:cNvPr>
        <xdr:cNvSpPr/>
      </xdr:nvSpPr>
      <xdr:spPr>
        <a:xfrm>
          <a:off x="6391275" y="219075"/>
          <a:ext cx="1285875" cy="914400"/>
        </a:xfrm>
        <a:prstGeom prst="round2Same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F95B2B9-6585-4F0E-9D18-F778DE33187C}" type="TxLink">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l"/>
            <a:t>Elish</a:t>
          </a:fld>
          <a:endPar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a:p>
          <a:pPr algn="l"/>
          <a: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(Top</a:t>
          </a:r>
          <a:r>
            <a:rPr lang="en-US" sz="1100" b="0" i="0" u="none" strike="noStrike" cap="none" spc="0" baseline="0">
              <a:ln w="0"/>
              <a:solidFill>
                <a:schemeClr val="tx1"/>
              </a:solidFill>
              <a:effectLst>
                <a:outerShdw blurRad="38100" dist="19050" dir="2700000" algn="tl" rotWithShape="0">
                  <a:schemeClr val="dk1">
                    <a:alpha val="40000"/>
                  </a:schemeClr>
                </a:outerShdw>
              </a:effectLst>
              <a:latin typeface="Calibri"/>
              <a:ea typeface="Calibri"/>
              <a:cs typeface="Calibri"/>
            </a:rPr>
            <a:t> Salesperson)</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228600</xdr:colOff>
      <xdr:row>2</xdr:row>
      <xdr:rowOff>33337</xdr:rowOff>
    </xdr:from>
    <xdr:to>
      <xdr:col>11</xdr:col>
      <xdr:colOff>533400</xdr:colOff>
      <xdr:row>16</xdr:row>
      <xdr:rowOff>109537</xdr:rowOff>
    </xdr:to>
    <xdr:graphicFrame macro="">
      <xdr:nvGraphicFramePr>
        <xdr:cNvPr id="2" name="Chart 1">
          <a:extLst>
            <a:ext uri="{FF2B5EF4-FFF2-40B4-BE49-F238E27FC236}">
              <a16:creationId xmlns:a16="http://schemas.microsoft.com/office/drawing/2014/main" id="{9E9A71B5-127E-6373-89AB-2952B957F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nique Ak" refreshedDate="46100.457289467595" createdVersion="8" refreshedVersion="8" minRefreshableVersion="3" recordCount="200" xr:uid="{0B3A4B18-7DBA-4743-8695-9670773A6397}">
  <cacheSource type="worksheet">
    <worksheetSource name="excel_practice_sales_dataset__2"/>
  </cacheSource>
  <cacheFields count="8">
    <cacheField name="Date" numFmtId="22">
      <sharedItems containsSemiMixedTypes="0" containsNonDate="0" containsDate="1" containsString="0" minDate="2024-01-04T00:00:00" maxDate="2025-01-01T00:00:00" count="145">
        <d v="2024-11-23T00:00:00"/>
        <d v="2024-04-24T00:00:00"/>
        <d v="2024-10-29T00:00:00"/>
        <d v="2024-04-29T00:00:00"/>
        <d v="2024-11-28T00:00:00"/>
        <d v="2024-05-22T00:00:00"/>
        <d v="2024-07-13T00:00:00"/>
        <d v="2024-01-23T00:00:00"/>
        <d v="2024-02-10T00:00:00"/>
        <d v="2024-07-04T00:00:00"/>
        <d v="2024-12-04T00:00:00"/>
        <d v="2024-02-21T00:00:00"/>
        <d v="2024-07-08T00:00:00"/>
        <d v="2024-12-15T00:00:00"/>
        <d v="2024-05-05T00:00:00"/>
        <d v="2024-12-18T00:00:00"/>
        <d v="2024-01-29T00:00:00"/>
        <d v="2024-02-03T00:00:00"/>
        <d v="2024-11-25T00:00:00"/>
        <d v="2024-10-14T00:00:00"/>
        <d v="2024-10-25T00:00:00"/>
        <d v="2024-09-09T00:00:00"/>
        <d v="2024-03-22T00:00:00"/>
        <d v="2024-07-14T00:00:00"/>
        <d v="2024-01-06T00:00:00"/>
        <d v="2024-05-16T00:00:00"/>
        <d v="2024-03-21T00:00:00"/>
        <d v="2024-04-01T00:00:00"/>
        <d v="2024-03-23T00:00:00"/>
        <d v="2024-01-10T00:00:00"/>
        <d v="2024-05-03T00:00:00"/>
        <d v="2024-02-05T00:00:00"/>
        <d v="2024-03-25T00:00:00"/>
        <d v="2024-12-19T00:00:00"/>
        <d v="2024-09-21T00:00:00"/>
        <d v="2024-06-22T00:00:00"/>
        <d v="2024-02-06T00:00:00"/>
        <d v="2024-06-18T00:00:00"/>
        <d v="2024-10-03T00:00:00"/>
        <d v="2024-07-27T00:00:00"/>
        <d v="2024-08-04T00:00:00"/>
        <d v="2024-11-30T00:00:00"/>
        <d v="2024-10-01T00:00:00"/>
        <d v="2024-08-24T00:00:00"/>
        <d v="2024-01-26T00:00:00"/>
        <d v="2024-08-20T00:00:00"/>
        <d v="2024-09-06T00:00:00"/>
        <d v="2024-10-23T00:00:00"/>
        <d v="2024-01-30T00:00:00"/>
        <d v="2024-02-04T00:00:00"/>
        <d v="2024-05-06T00:00:00"/>
        <d v="2024-12-02T00:00:00"/>
        <d v="2024-06-09T00:00:00"/>
        <d v="2024-11-26T00:00:00"/>
        <d v="2024-08-22T00:00:00"/>
        <d v="2024-09-16T00:00:00"/>
        <d v="2024-06-03T00:00:00"/>
        <d v="2024-12-05T00:00:00"/>
        <d v="2024-10-10T00:00:00"/>
        <d v="2024-06-24T00:00:00"/>
        <d v="2024-01-27T00:00:00"/>
        <d v="2024-06-19T00:00:00"/>
        <d v="2024-08-14T00:00:00"/>
        <d v="2024-02-08T00:00:00"/>
        <d v="2024-06-06T00:00:00"/>
        <d v="2024-05-07T00:00:00"/>
        <d v="2024-03-31T00:00:00"/>
        <d v="2024-07-29T00:00:00"/>
        <d v="2024-12-25T00:00:00"/>
        <d v="2024-04-12T00:00:00"/>
        <d v="2024-04-26T00:00:00"/>
        <d v="2024-06-17T00:00:00"/>
        <d v="2024-09-17T00:00:00"/>
        <d v="2024-08-10T00:00:00"/>
        <d v="2024-02-29T00:00:00"/>
        <d v="2024-08-11T00:00:00"/>
        <d v="2024-12-06T00:00:00"/>
        <d v="2024-06-02T00:00:00"/>
        <d v="2024-07-25T00:00:00"/>
        <d v="2024-08-03T00:00:00"/>
        <d v="2024-10-18T00:00:00"/>
        <d v="2024-05-26T00:00:00"/>
        <d v="2024-06-13T00:00:00"/>
        <d v="2024-08-30T00:00:00"/>
        <d v="2024-09-20T00:00:00"/>
        <d v="2024-06-07T00:00:00"/>
        <d v="2024-10-21T00:00:00"/>
        <d v="2024-03-16T00:00:00"/>
        <d v="2024-03-03T00:00:00"/>
        <d v="2024-10-31T00:00:00"/>
        <d v="2024-10-07T00:00:00"/>
        <d v="2024-05-12T00:00:00"/>
        <d v="2024-09-23T00:00:00"/>
        <d v="2024-12-31T00:00:00"/>
        <d v="2024-12-21T00:00:00"/>
        <d v="2024-01-04T00:00:00"/>
        <d v="2024-10-06T00:00:00"/>
        <d v="2024-12-13T00:00:00"/>
        <d v="2024-08-27T00:00:00"/>
        <d v="2024-04-18T00:00:00"/>
        <d v="2024-11-29T00:00:00"/>
        <d v="2024-01-11T00:00:00"/>
        <d v="2024-12-08T00:00:00"/>
        <d v="2024-07-07T00:00:00"/>
        <d v="2024-04-11T00:00:00"/>
        <d v="2024-12-16T00:00:00"/>
        <d v="2024-09-29T00:00:00"/>
        <d v="2024-06-23T00:00:00"/>
        <d v="2024-09-04T00:00:00"/>
        <d v="2024-06-14T00:00:00"/>
        <d v="2024-05-04T00:00:00"/>
        <d v="2024-11-01T00:00:00"/>
        <d v="2024-04-07T00:00:00"/>
        <d v="2024-10-11T00:00:00"/>
        <d v="2024-12-30T00:00:00"/>
        <d v="2024-04-23T00:00:00"/>
        <d v="2024-06-29T00:00:00"/>
        <d v="2024-04-28T00:00:00"/>
        <d v="2024-09-30T00:00:00"/>
        <d v="2024-05-29T00:00:00"/>
        <d v="2024-01-07T00:00:00"/>
        <d v="2024-12-17T00:00:00"/>
        <d v="2024-02-13T00:00:00"/>
        <d v="2024-01-31T00:00:00"/>
        <d v="2024-12-27T00:00:00"/>
        <d v="2024-11-16T00:00:00"/>
        <d v="2024-04-25T00:00:00"/>
        <d v="2024-08-12T00:00:00"/>
        <d v="2024-01-21T00:00:00"/>
        <d v="2024-02-16T00:00:00"/>
        <d v="2024-09-08T00:00:00"/>
        <d v="2024-10-08T00:00:00"/>
        <d v="2024-10-04T00:00:00"/>
        <d v="2024-11-07T00:00:00"/>
        <d v="2024-10-09T00:00:00"/>
        <d v="2024-02-28T00:00:00"/>
        <d v="2024-07-31T00:00:00"/>
        <d v="2024-06-01T00:00:00"/>
        <d v="2024-08-21T00:00:00"/>
        <d v="2024-07-15T00:00:00"/>
        <d v="2024-01-19T00:00:00"/>
        <d v="2024-09-26T00:00:00"/>
        <d v="2024-12-01T00:00:00"/>
        <d v="2024-11-15T00:00:00"/>
        <d v="2024-03-26T00:00:00"/>
      </sharedItems>
      <fieldGroup par="7"/>
    </cacheField>
    <cacheField name="Region" numFmtId="0">
      <sharedItems count="4">
        <s v="North"/>
        <s v="West"/>
        <s v="South"/>
        <s v="East"/>
      </sharedItems>
    </cacheField>
    <cacheField name="Salesperson" numFmtId="0">
      <sharedItems count="6">
        <s v="Elish"/>
        <s v="Ian"/>
        <s v="Vikram"/>
        <s v="Riya"/>
        <s v="Karan"/>
        <s v="Neha"/>
      </sharedItems>
    </cacheField>
    <cacheField name="Product" numFmtId="0">
      <sharedItems count="7">
        <s v="Laptop"/>
        <s v="Mouse"/>
        <s v="Monitor"/>
        <s v="Headphones"/>
        <s v="Tablet"/>
        <s v="Printer"/>
        <s v="Keyboard"/>
      </sharedItems>
    </cacheField>
    <cacheField name="Units Sold" numFmtId="0">
      <sharedItems containsSemiMixedTypes="0" containsString="0" containsNumber="1" containsInteger="1" minValue="1" maxValue="10"/>
    </cacheField>
    <cacheField name="Unit Price ($)" numFmtId="0">
      <sharedItems containsSemiMixedTypes="0" containsString="0" containsNumber="1" containsInteger="1" minValue="50" maxValue="800"/>
    </cacheField>
    <cacheField name="Revenue ($)" numFmtId="164">
      <sharedItems containsSemiMixedTypes="0" containsString="0" containsNumber="1" containsInteger="1" minValue="50" maxValue="8000"/>
    </cacheField>
    <cacheField name="Months (Date)" numFmtId="0" databaseField="0">
      <fieldGroup base="0">
        <rangePr groupBy="months" startDate="2024-01-04T00:00:00" endDate="2025-01-01T00:00:00"/>
        <groupItems count="14">
          <s v="&lt;04-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12497949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n v="5"/>
    <n v="80"/>
    <n v="400"/>
  </r>
  <r>
    <x v="1"/>
    <x v="0"/>
    <x v="0"/>
    <x v="1"/>
    <n v="9"/>
    <n v="50"/>
    <n v="450"/>
  </r>
  <r>
    <x v="2"/>
    <x v="0"/>
    <x v="1"/>
    <x v="2"/>
    <n v="2"/>
    <n v="80"/>
    <n v="160"/>
  </r>
  <r>
    <x v="3"/>
    <x v="0"/>
    <x v="2"/>
    <x v="3"/>
    <n v="4"/>
    <n v="500"/>
    <n v="2000"/>
  </r>
  <r>
    <x v="4"/>
    <x v="1"/>
    <x v="3"/>
    <x v="4"/>
    <n v="8"/>
    <n v="350"/>
    <n v="2800"/>
  </r>
  <r>
    <x v="5"/>
    <x v="0"/>
    <x v="3"/>
    <x v="5"/>
    <n v="7"/>
    <n v="120"/>
    <n v="840"/>
  </r>
  <r>
    <x v="5"/>
    <x v="2"/>
    <x v="4"/>
    <x v="1"/>
    <n v="2"/>
    <n v="50"/>
    <n v="100"/>
  </r>
  <r>
    <x v="6"/>
    <x v="3"/>
    <x v="4"/>
    <x v="0"/>
    <n v="10"/>
    <n v="120"/>
    <n v="1200"/>
  </r>
  <r>
    <x v="7"/>
    <x v="1"/>
    <x v="2"/>
    <x v="4"/>
    <n v="2"/>
    <n v="200"/>
    <n v="400"/>
  </r>
  <r>
    <x v="8"/>
    <x v="3"/>
    <x v="0"/>
    <x v="3"/>
    <n v="10"/>
    <n v="800"/>
    <n v="8000"/>
  </r>
  <r>
    <x v="9"/>
    <x v="2"/>
    <x v="0"/>
    <x v="3"/>
    <n v="2"/>
    <n v="50"/>
    <n v="100"/>
  </r>
  <r>
    <x v="10"/>
    <x v="3"/>
    <x v="1"/>
    <x v="1"/>
    <n v="4"/>
    <n v="800"/>
    <n v="3200"/>
  </r>
  <r>
    <x v="11"/>
    <x v="3"/>
    <x v="5"/>
    <x v="2"/>
    <n v="6"/>
    <n v="80"/>
    <n v="480"/>
  </r>
  <r>
    <x v="12"/>
    <x v="2"/>
    <x v="0"/>
    <x v="6"/>
    <n v="5"/>
    <n v="500"/>
    <n v="2500"/>
  </r>
  <r>
    <x v="13"/>
    <x v="0"/>
    <x v="2"/>
    <x v="4"/>
    <n v="3"/>
    <n v="350"/>
    <n v="1050"/>
  </r>
  <r>
    <x v="14"/>
    <x v="1"/>
    <x v="5"/>
    <x v="1"/>
    <n v="5"/>
    <n v="500"/>
    <n v="2500"/>
  </r>
  <r>
    <x v="15"/>
    <x v="2"/>
    <x v="0"/>
    <x v="3"/>
    <n v="6"/>
    <n v="800"/>
    <n v="4800"/>
  </r>
  <r>
    <x v="16"/>
    <x v="0"/>
    <x v="4"/>
    <x v="1"/>
    <n v="7"/>
    <n v="120"/>
    <n v="840"/>
  </r>
  <r>
    <x v="17"/>
    <x v="3"/>
    <x v="3"/>
    <x v="1"/>
    <n v="8"/>
    <n v="200"/>
    <n v="1600"/>
  </r>
  <r>
    <x v="18"/>
    <x v="2"/>
    <x v="4"/>
    <x v="2"/>
    <n v="3"/>
    <n v="80"/>
    <n v="240"/>
  </r>
  <r>
    <x v="19"/>
    <x v="3"/>
    <x v="0"/>
    <x v="3"/>
    <n v="10"/>
    <n v="200"/>
    <n v="2000"/>
  </r>
  <r>
    <x v="20"/>
    <x v="3"/>
    <x v="3"/>
    <x v="2"/>
    <n v="3"/>
    <n v="350"/>
    <n v="1050"/>
  </r>
  <r>
    <x v="21"/>
    <x v="0"/>
    <x v="1"/>
    <x v="0"/>
    <n v="3"/>
    <n v="500"/>
    <n v="1500"/>
  </r>
  <r>
    <x v="22"/>
    <x v="1"/>
    <x v="2"/>
    <x v="5"/>
    <n v="2"/>
    <n v="200"/>
    <n v="400"/>
  </r>
  <r>
    <x v="23"/>
    <x v="1"/>
    <x v="2"/>
    <x v="3"/>
    <n v="5"/>
    <n v="350"/>
    <n v="1750"/>
  </r>
  <r>
    <x v="24"/>
    <x v="0"/>
    <x v="0"/>
    <x v="4"/>
    <n v="9"/>
    <n v="800"/>
    <n v="7200"/>
  </r>
  <r>
    <x v="25"/>
    <x v="3"/>
    <x v="1"/>
    <x v="5"/>
    <n v="5"/>
    <n v="200"/>
    <n v="1000"/>
  </r>
  <r>
    <x v="26"/>
    <x v="0"/>
    <x v="0"/>
    <x v="2"/>
    <n v="5"/>
    <n v="350"/>
    <n v="1750"/>
  </r>
  <r>
    <x v="27"/>
    <x v="0"/>
    <x v="0"/>
    <x v="3"/>
    <n v="5"/>
    <n v="800"/>
    <n v="4000"/>
  </r>
  <r>
    <x v="0"/>
    <x v="2"/>
    <x v="3"/>
    <x v="3"/>
    <n v="6"/>
    <n v="800"/>
    <n v="4800"/>
  </r>
  <r>
    <x v="28"/>
    <x v="0"/>
    <x v="2"/>
    <x v="3"/>
    <n v="6"/>
    <n v="200"/>
    <n v="1200"/>
  </r>
  <r>
    <x v="29"/>
    <x v="3"/>
    <x v="4"/>
    <x v="0"/>
    <n v="4"/>
    <n v="50"/>
    <n v="200"/>
  </r>
  <r>
    <x v="30"/>
    <x v="0"/>
    <x v="1"/>
    <x v="3"/>
    <n v="8"/>
    <n v="800"/>
    <n v="6400"/>
  </r>
  <r>
    <x v="31"/>
    <x v="2"/>
    <x v="3"/>
    <x v="5"/>
    <n v="8"/>
    <n v="350"/>
    <n v="2800"/>
  </r>
  <r>
    <x v="32"/>
    <x v="1"/>
    <x v="3"/>
    <x v="6"/>
    <n v="9"/>
    <n v="800"/>
    <n v="7200"/>
  </r>
  <r>
    <x v="33"/>
    <x v="3"/>
    <x v="5"/>
    <x v="1"/>
    <n v="6"/>
    <n v="200"/>
    <n v="1200"/>
  </r>
  <r>
    <x v="34"/>
    <x v="0"/>
    <x v="3"/>
    <x v="2"/>
    <n v="4"/>
    <n v="50"/>
    <n v="200"/>
  </r>
  <r>
    <x v="35"/>
    <x v="2"/>
    <x v="2"/>
    <x v="0"/>
    <n v="4"/>
    <n v="50"/>
    <n v="200"/>
  </r>
  <r>
    <x v="36"/>
    <x v="0"/>
    <x v="3"/>
    <x v="4"/>
    <n v="2"/>
    <n v="50"/>
    <n v="100"/>
  </r>
  <r>
    <x v="37"/>
    <x v="2"/>
    <x v="4"/>
    <x v="0"/>
    <n v="8"/>
    <n v="80"/>
    <n v="640"/>
  </r>
  <r>
    <x v="38"/>
    <x v="1"/>
    <x v="3"/>
    <x v="1"/>
    <n v="8"/>
    <n v="800"/>
    <n v="6400"/>
  </r>
  <r>
    <x v="39"/>
    <x v="0"/>
    <x v="1"/>
    <x v="1"/>
    <n v="7"/>
    <n v="120"/>
    <n v="840"/>
  </r>
  <r>
    <x v="40"/>
    <x v="1"/>
    <x v="0"/>
    <x v="2"/>
    <n v="1"/>
    <n v="500"/>
    <n v="500"/>
  </r>
  <r>
    <x v="41"/>
    <x v="0"/>
    <x v="1"/>
    <x v="4"/>
    <n v="7"/>
    <n v="500"/>
    <n v="3500"/>
  </r>
  <r>
    <x v="35"/>
    <x v="0"/>
    <x v="3"/>
    <x v="5"/>
    <n v="4"/>
    <n v="80"/>
    <n v="320"/>
  </r>
  <r>
    <x v="42"/>
    <x v="2"/>
    <x v="5"/>
    <x v="2"/>
    <n v="3"/>
    <n v="120"/>
    <n v="360"/>
  </r>
  <r>
    <x v="43"/>
    <x v="0"/>
    <x v="5"/>
    <x v="1"/>
    <n v="9"/>
    <n v="50"/>
    <n v="450"/>
  </r>
  <r>
    <x v="44"/>
    <x v="0"/>
    <x v="1"/>
    <x v="4"/>
    <n v="4"/>
    <n v="80"/>
    <n v="320"/>
  </r>
  <r>
    <x v="39"/>
    <x v="1"/>
    <x v="3"/>
    <x v="2"/>
    <n v="7"/>
    <n v="50"/>
    <n v="350"/>
  </r>
  <r>
    <x v="32"/>
    <x v="0"/>
    <x v="5"/>
    <x v="2"/>
    <n v="5"/>
    <n v="800"/>
    <n v="4000"/>
  </r>
  <r>
    <x v="45"/>
    <x v="1"/>
    <x v="0"/>
    <x v="6"/>
    <n v="9"/>
    <n v="500"/>
    <n v="4500"/>
  </r>
  <r>
    <x v="46"/>
    <x v="2"/>
    <x v="4"/>
    <x v="1"/>
    <n v="4"/>
    <n v="50"/>
    <n v="200"/>
  </r>
  <r>
    <x v="47"/>
    <x v="0"/>
    <x v="0"/>
    <x v="4"/>
    <n v="6"/>
    <n v="50"/>
    <n v="300"/>
  </r>
  <r>
    <x v="44"/>
    <x v="1"/>
    <x v="2"/>
    <x v="3"/>
    <n v="9"/>
    <n v="80"/>
    <n v="720"/>
  </r>
  <r>
    <x v="48"/>
    <x v="0"/>
    <x v="3"/>
    <x v="3"/>
    <n v="2"/>
    <n v="350"/>
    <n v="700"/>
  </r>
  <r>
    <x v="49"/>
    <x v="2"/>
    <x v="5"/>
    <x v="4"/>
    <n v="2"/>
    <n v="350"/>
    <n v="700"/>
  </r>
  <r>
    <x v="50"/>
    <x v="0"/>
    <x v="2"/>
    <x v="3"/>
    <n v="2"/>
    <n v="200"/>
    <n v="400"/>
  </r>
  <r>
    <x v="51"/>
    <x v="3"/>
    <x v="4"/>
    <x v="3"/>
    <n v="4"/>
    <n v="500"/>
    <n v="2000"/>
  </r>
  <r>
    <x v="52"/>
    <x v="3"/>
    <x v="5"/>
    <x v="1"/>
    <n v="3"/>
    <n v="500"/>
    <n v="1500"/>
  </r>
  <r>
    <x v="53"/>
    <x v="1"/>
    <x v="4"/>
    <x v="6"/>
    <n v="2"/>
    <n v="50"/>
    <n v="100"/>
  </r>
  <r>
    <x v="54"/>
    <x v="0"/>
    <x v="1"/>
    <x v="3"/>
    <n v="9"/>
    <n v="80"/>
    <n v="720"/>
  </r>
  <r>
    <x v="55"/>
    <x v="2"/>
    <x v="4"/>
    <x v="6"/>
    <n v="2"/>
    <n v="80"/>
    <n v="160"/>
  </r>
  <r>
    <x v="12"/>
    <x v="2"/>
    <x v="5"/>
    <x v="6"/>
    <n v="9"/>
    <n v="500"/>
    <n v="4500"/>
  </r>
  <r>
    <x v="56"/>
    <x v="0"/>
    <x v="0"/>
    <x v="3"/>
    <n v="9"/>
    <n v="120"/>
    <n v="1080"/>
  </r>
  <r>
    <x v="57"/>
    <x v="2"/>
    <x v="4"/>
    <x v="0"/>
    <n v="2"/>
    <n v="50"/>
    <n v="100"/>
  </r>
  <r>
    <x v="58"/>
    <x v="3"/>
    <x v="4"/>
    <x v="1"/>
    <n v="10"/>
    <n v="80"/>
    <n v="800"/>
  </r>
  <r>
    <x v="59"/>
    <x v="3"/>
    <x v="2"/>
    <x v="1"/>
    <n v="8"/>
    <n v="120"/>
    <n v="960"/>
  </r>
  <r>
    <x v="60"/>
    <x v="1"/>
    <x v="4"/>
    <x v="0"/>
    <n v="1"/>
    <n v="50"/>
    <n v="50"/>
  </r>
  <r>
    <x v="61"/>
    <x v="2"/>
    <x v="0"/>
    <x v="5"/>
    <n v="5"/>
    <n v="80"/>
    <n v="400"/>
  </r>
  <r>
    <x v="62"/>
    <x v="1"/>
    <x v="2"/>
    <x v="3"/>
    <n v="1"/>
    <n v="50"/>
    <n v="50"/>
  </r>
  <r>
    <x v="63"/>
    <x v="2"/>
    <x v="2"/>
    <x v="4"/>
    <n v="1"/>
    <n v="800"/>
    <n v="800"/>
  </r>
  <r>
    <x v="12"/>
    <x v="2"/>
    <x v="5"/>
    <x v="3"/>
    <n v="3"/>
    <n v="50"/>
    <n v="150"/>
  </r>
  <r>
    <x v="64"/>
    <x v="0"/>
    <x v="4"/>
    <x v="6"/>
    <n v="4"/>
    <n v="500"/>
    <n v="2000"/>
  </r>
  <r>
    <x v="65"/>
    <x v="0"/>
    <x v="4"/>
    <x v="4"/>
    <n v="9"/>
    <n v="800"/>
    <n v="7200"/>
  </r>
  <r>
    <x v="39"/>
    <x v="2"/>
    <x v="3"/>
    <x v="3"/>
    <n v="3"/>
    <n v="800"/>
    <n v="2400"/>
  </r>
  <r>
    <x v="66"/>
    <x v="0"/>
    <x v="3"/>
    <x v="2"/>
    <n v="6"/>
    <n v="800"/>
    <n v="4800"/>
  </r>
  <r>
    <x v="67"/>
    <x v="2"/>
    <x v="4"/>
    <x v="5"/>
    <n v="3"/>
    <n v="800"/>
    <n v="2400"/>
  </r>
  <r>
    <x v="68"/>
    <x v="1"/>
    <x v="1"/>
    <x v="0"/>
    <n v="8"/>
    <n v="80"/>
    <n v="640"/>
  </r>
  <r>
    <x v="69"/>
    <x v="1"/>
    <x v="4"/>
    <x v="5"/>
    <n v="5"/>
    <n v="800"/>
    <n v="4000"/>
  </r>
  <r>
    <x v="70"/>
    <x v="0"/>
    <x v="0"/>
    <x v="1"/>
    <n v="4"/>
    <n v="200"/>
    <n v="800"/>
  </r>
  <r>
    <x v="71"/>
    <x v="0"/>
    <x v="4"/>
    <x v="6"/>
    <n v="6"/>
    <n v="500"/>
    <n v="3000"/>
  </r>
  <r>
    <x v="72"/>
    <x v="3"/>
    <x v="1"/>
    <x v="2"/>
    <n v="2"/>
    <n v="120"/>
    <n v="240"/>
  </r>
  <r>
    <x v="27"/>
    <x v="3"/>
    <x v="1"/>
    <x v="3"/>
    <n v="2"/>
    <n v="350"/>
    <n v="700"/>
  </r>
  <r>
    <x v="73"/>
    <x v="3"/>
    <x v="5"/>
    <x v="6"/>
    <n v="10"/>
    <n v="350"/>
    <n v="3500"/>
  </r>
  <r>
    <x v="74"/>
    <x v="2"/>
    <x v="4"/>
    <x v="2"/>
    <n v="1"/>
    <n v="500"/>
    <n v="500"/>
  </r>
  <r>
    <x v="75"/>
    <x v="2"/>
    <x v="4"/>
    <x v="0"/>
    <n v="7"/>
    <n v="50"/>
    <n v="350"/>
  </r>
  <r>
    <x v="76"/>
    <x v="3"/>
    <x v="0"/>
    <x v="6"/>
    <n v="2"/>
    <n v="500"/>
    <n v="1000"/>
  </r>
  <r>
    <x v="77"/>
    <x v="3"/>
    <x v="0"/>
    <x v="3"/>
    <n v="7"/>
    <n v="120"/>
    <n v="840"/>
  </r>
  <r>
    <x v="78"/>
    <x v="3"/>
    <x v="2"/>
    <x v="4"/>
    <n v="3"/>
    <n v="80"/>
    <n v="240"/>
  </r>
  <r>
    <x v="79"/>
    <x v="1"/>
    <x v="0"/>
    <x v="4"/>
    <n v="3"/>
    <n v="350"/>
    <n v="1050"/>
  </r>
  <r>
    <x v="80"/>
    <x v="1"/>
    <x v="2"/>
    <x v="6"/>
    <n v="1"/>
    <n v="120"/>
    <n v="120"/>
  </r>
  <r>
    <x v="81"/>
    <x v="1"/>
    <x v="2"/>
    <x v="1"/>
    <n v="10"/>
    <n v="500"/>
    <n v="5000"/>
  </r>
  <r>
    <x v="82"/>
    <x v="1"/>
    <x v="5"/>
    <x v="2"/>
    <n v="4"/>
    <n v="350"/>
    <n v="1400"/>
  </r>
  <r>
    <x v="83"/>
    <x v="2"/>
    <x v="0"/>
    <x v="5"/>
    <n v="2"/>
    <n v="120"/>
    <n v="240"/>
  </r>
  <r>
    <x v="84"/>
    <x v="3"/>
    <x v="1"/>
    <x v="4"/>
    <n v="4"/>
    <n v="500"/>
    <n v="2000"/>
  </r>
  <r>
    <x v="85"/>
    <x v="2"/>
    <x v="3"/>
    <x v="1"/>
    <n v="1"/>
    <n v="50"/>
    <n v="50"/>
  </r>
  <r>
    <x v="14"/>
    <x v="0"/>
    <x v="5"/>
    <x v="2"/>
    <n v="7"/>
    <n v="500"/>
    <n v="3500"/>
  </r>
  <r>
    <x v="86"/>
    <x v="1"/>
    <x v="5"/>
    <x v="1"/>
    <n v="7"/>
    <n v="80"/>
    <n v="560"/>
  </r>
  <r>
    <x v="87"/>
    <x v="0"/>
    <x v="1"/>
    <x v="4"/>
    <n v="7"/>
    <n v="80"/>
    <n v="560"/>
  </r>
  <r>
    <x v="66"/>
    <x v="1"/>
    <x v="1"/>
    <x v="5"/>
    <n v="9"/>
    <n v="80"/>
    <n v="720"/>
  </r>
  <r>
    <x v="88"/>
    <x v="2"/>
    <x v="5"/>
    <x v="2"/>
    <n v="9"/>
    <n v="350"/>
    <n v="3150"/>
  </r>
  <r>
    <x v="89"/>
    <x v="1"/>
    <x v="2"/>
    <x v="6"/>
    <n v="9"/>
    <n v="200"/>
    <n v="1800"/>
  </r>
  <r>
    <x v="90"/>
    <x v="2"/>
    <x v="0"/>
    <x v="2"/>
    <n v="8"/>
    <n v="200"/>
    <n v="1600"/>
  </r>
  <r>
    <x v="91"/>
    <x v="2"/>
    <x v="0"/>
    <x v="5"/>
    <n v="5"/>
    <n v="800"/>
    <n v="4000"/>
  </r>
  <r>
    <x v="92"/>
    <x v="2"/>
    <x v="4"/>
    <x v="2"/>
    <n v="8"/>
    <n v="50"/>
    <n v="400"/>
  </r>
  <r>
    <x v="93"/>
    <x v="2"/>
    <x v="4"/>
    <x v="6"/>
    <n v="6"/>
    <n v="120"/>
    <n v="720"/>
  </r>
  <r>
    <x v="38"/>
    <x v="2"/>
    <x v="3"/>
    <x v="0"/>
    <n v="4"/>
    <n v="200"/>
    <n v="800"/>
  </r>
  <r>
    <x v="94"/>
    <x v="2"/>
    <x v="1"/>
    <x v="1"/>
    <n v="7"/>
    <n v="200"/>
    <n v="1400"/>
  </r>
  <r>
    <x v="37"/>
    <x v="1"/>
    <x v="5"/>
    <x v="3"/>
    <n v="1"/>
    <n v="80"/>
    <n v="80"/>
  </r>
  <r>
    <x v="79"/>
    <x v="0"/>
    <x v="2"/>
    <x v="2"/>
    <n v="7"/>
    <n v="200"/>
    <n v="1400"/>
  </r>
  <r>
    <x v="95"/>
    <x v="3"/>
    <x v="5"/>
    <x v="6"/>
    <n v="7"/>
    <n v="350"/>
    <n v="2450"/>
  </r>
  <r>
    <x v="96"/>
    <x v="2"/>
    <x v="5"/>
    <x v="5"/>
    <n v="4"/>
    <n v="120"/>
    <n v="480"/>
  </r>
  <r>
    <x v="75"/>
    <x v="0"/>
    <x v="5"/>
    <x v="2"/>
    <n v="6"/>
    <n v="500"/>
    <n v="3000"/>
  </r>
  <r>
    <x v="97"/>
    <x v="1"/>
    <x v="0"/>
    <x v="5"/>
    <n v="3"/>
    <n v="800"/>
    <n v="2400"/>
  </r>
  <r>
    <x v="98"/>
    <x v="0"/>
    <x v="5"/>
    <x v="1"/>
    <n v="10"/>
    <n v="350"/>
    <n v="3500"/>
  </r>
  <r>
    <x v="57"/>
    <x v="0"/>
    <x v="0"/>
    <x v="0"/>
    <n v="7"/>
    <n v="80"/>
    <n v="560"/>
  </r>
  <r>
    <x v="43"/>
    <x v="0"/>
    <x v="4"/>
    <x v="1"/>
    <n v="7"/>
    <n v="120"/>
    <n v="840"/>
  </r>
  <r>
    <x v="99"/>
    <x v="3"/>
    <x v="4"/>
    <x v="2"/>
    <n v="7"/>
    <n v="120"/>
    <n v="840"/>
  </r>
  <r>
    <x v="79"/>
    <x v="0"/>
    <x v="5"/>
    <x v="6"/>
    <n v="1"/>
    <n v="500"/>
    <n v="500"/>
  </r>
  <r>
    <x v="38"/>
    <x v="3"/>
    <x v="3"/>
    <x v="0"/>
    <n v="2"/>
    <n v="800"/>
    <n v="1600"/>
  </r>
  <r>
    <x v="100"/>
    <x v="0"/>
    <x v="3"/>
    <x v="0"/>
    <n v="4"/>
    <n v="800"/>
    <n v="3200"/>
  </r>
  <r>
    <x v="101"/>
    <x v="2"/>
    <x v="3"/>
    <x v="3"/>
    <n v="3"/>
    <n v="200"/>
    <n v="600"/>
  </r>
  <r>
    <x v="102"/>
    <x v="2"/>
    <x v="5"/>
    <x v="0"/>
    <n v="5"/>
    <n v="800"/>
    <n v="4000"/>
  </r>
  <r>
    <x v="103"/>
    <x v="0"/>
    <x v="3"/>
    <x v="1"/>
    <n v="5"/>
    <n v="50"/>
    <n v="250"/>
  </r>
  <r>
    <x v="47"/>
    <x v="3"/>
    <x v="2"/>
    <x v="0"/>
    <n v="7"/>
    <n v="200"/>
    <n v="1400"/>
  </r>
  <r>
    <x v="104"/>
    <x v="2"/>
    <x v="1"/>
    <x v="0"/>
    <n v="5"/>
    <n v="800"/>
    <n v="4000"/>
  </r>
  <r>
    <x v="105"/>
    <x v="0"/>
    <x v="2"/>
    <x v="3"/>
    <n v="1"/>
    <n v="120"/>
    <n v="120"/>
  </r>
  <r>
    <x v="106"/>
    <x v="3"/>
    <x v="1"/>
    <x v="2"/>
    <n v="9"/>
    <n v="500"/>
    <n v="4500"/>
  </r>
  <r>
    <x v="107"/>
    <x v="1"/>
    <x v="5"/>
    <x v="0"/>
    <n v="2"/>
    <n v="200"/>
    <n v="400"/>
  </r>
  <r>
    <x v="9"/>
    <x v="1"/>
    <x v="0"/>
    <x v="4"/>
    <n v="3"/>
    <n v="200"/>
    <n v="600"/>
  </r>
  <r>
    <x v="66"/>
    <x v="3"/>
    <x v="2"/>
    <x v="4"/>
    <n v="9"/>
    <n v="800"/>
    <n v="7200"/>
  </r>
  <r>
    <x v="108"/>
    <x v="1"/>
    <x v="0"/>
    <x v="2"/>
    <n v="10"/>
    <n v="120"/>
    <n v="1200"/>
  </r>
  <r>
    <x v="109"/>
    <x v="2"/>
    <x v="1"/>
    <x v="5"/>
    <n v="5"/>
    <n v="200"/>
    <n v="1000"/>
  </r>
  <r>
    <x v="110"/>
    <x v="1"/>
    <x v="2"/>
    <x v="5"/>
    <n v="10"/>
    <n v="500"/>
    <n v="5000"/>
  </r>
  <r>
    <x v="6"/>
    <x v="0"/>
    <x v="5"/>
    <x v="6"/>
    <n v="6"/>
    <n v="80"/>
    <n v="480"/>
  </r>
  <r>
    <x v="46"/>
    <x v="3"/>
    <x v="4"/>
    <x v="1"/>
    <n v="6"/>
    <n v="120"/>
    <n v="720"/>
  </r>
  <r>
    <x v="111"/>
    <x v="3"/>
    <x v="2"/>
    <x v="4"/>
    <n v="1"/>
    <n v="350"/>
    <n v="350"/>
  </r>
  <r>
    <x v="112"/>
    <x v="2"/>
    <x v="0"/>
    <x v="0"/>
    <n v="7"/>
    <n v="200"/>
    <n v="1400"/>
  </r>
  <r>
    <x v="113"/>
    <x v="2"/>
    <x v="0"/>
    <x v="5"/>
    <n v="8"/>
    <n v="500"/>
    <n v="4000"/>
  </r>
  <r>
    <x v="114"/>
    <x v="1"/>
    <x v="1"/>
    <x v="2"/>
    <n v="2"/>
    <n v="120"/>
    <n v="240"/>
  </r>
  <r>
    <x v="115"/>
    <x v="2"/>
    <x v="4"/>
    <x v="2"/>
    <n v="10"/>
    <n v="120"/>
    <n v="1200"/>
  </r>
  <r>
    <x v="83"/>
    <x v="3"/>
    <x v="5"/>
    <x v="3"/>
    <n v="9"/>
    <n v="120"/>
    <n v="1080"/>
  </r>
  <r>
    <x v="116"/>
    <x v="1"/>
    <x v="4"/>
    <x v="4"/>
    <n v="5"/>
    <n v="120"/>
    <n v="600"/>
  </r>
  <r>
    <x v="117"/>
    <x v="2"/>
    <x v="4"/>
    <x v="0"/>
    <n v="2"/>
    <n v="500"/>
    <n v="1000"/>
  </r>
  <r>
    <x v="42"/>
    <x v="2"/>
    <x v="3"/>
    <x v="5"/>
    <n v="4"/>
    <n v="500"/>
    <n v="2000"/>
  </r>
  <r>
    <x v="108"/>
    <x v="3"/>
    <x v="1"/>
    <x v="6"/>
    <n v="4"/>
    <n v="120"/>
    <n v="480"/>
  </r>
  <r>
    <x v="70"/>
    <x v="2"/>
    <x v="4"/>
    <x v="6"/>
    <n v="1"/>
    <n v="500"/>
    <n v="500"/>
  </r>
  <r>
    <x v="118"/>
    <x v="3"/>
    <x v="1"/>
    <x v="1"/>
    <n v="1"/>
    <n v="350"/>
    <n v="350"/>
  </r>
  <r>
    <x v="119"/>
    <x v="2"/>
    <x v="0"/>
    <x v="4"/>
    <n v="8"/>
    <n v="50"/>
    <n v="400"/>
  </r>
  <r>
    <x v="120"/>
    <x v="3"/>
    <x v="5"/>
    <x v="3"/>
    <n v="8"/>
    <n v="200"/>
    <n v="1600"/>
  </r>
  <r>
    <x v="107"/>
    <x v="0"/>
    <x v="4"/>
    <x v="1"/>
    <n v="8"/>
    <n v="50"/>
    <n v="400"/>
  </r>
  <r>
    <x v="17"/>
    <x v="1"/>
    <x v="1"/>
    <x v="2"/>
    <n v="10"/>
    <n v="500"/>
    <n v="5000"/>
  </r>
  <r>
    <x v="121"/>
    <x v="2"/>
    <x v="3"/>
    <x v="0"/>
    <n v="10"/>
    <n v="120"/>
    <n v="1200"/>
  </r>
  <r>
    <x v="122"/>
    <x v="0"/>
    <x v="2"/>
    <x v="1"/>
    <n v="7"/>
    <n v="350"/>
    <n v="2450"/>
  </r>
  <r>
    <x v="111"/>
    <x v="2"/>
    <x v="2"/>
    <x v="5"/>
    <n v="7"/>
    <n v="200"/>
    <n v="1400"/>
  </r>
  <r>
    <x v="62"/>
    <x v="1"/>
    <x v="4"/>
    <x v="6"/>
    <n v="10"/>
    <n v="350"/>
    <n v="3500"/>
  </r>
  <r>
    <x v="123"/>
    <x v="0"/>
    <x v="3"/>
    <x v="3"/>
    <n v="4"/>
    <n v="120"/>
    <n v="480"/>
  </r>
  <r>
    <x v="10"/>
    <x v="2"/>
    <x v="3"/>
    <x v="0"/>
    <n v="3"/>
    <n v="350"/>
    <n v="1050"/>
  </r>
  <r>
    <x v="63"/>
    <x v="0"/>
    <x v="5"/>
    <x v="1"/>
    <n v="8"/>
    <n v="500"/>
    <n v="4000"/>
  </r>
  <r>
    <x v="89"/>
    <x v="3"/>
    <x v="1"/>
    <x v="2"/>
    <n v="4"/>
    <n v="120"/>
    <n v="480"/>
  </r>
  <r>
    <x v="124"/>
    <x v="1"/>
    <x v="1"/>
    <x v="6"/>
    <n v="4"/>
    <n v="120"/>
    <n v="480"/>
  </r>
  <r>
    <x v="125"/>
    <x v="2"/>
    <x v="5"/>
    <x v="3"/>
    <n v="2"/>
    <n v="350"/>
    <n v="700"/>
  </r>
  <r>
    <x v="126"/>
    <x v="2"/>
    <x v="4"/>
    <x v="4"/>
    <n v="3"/>
    <n v="50"/>
    <n v="150"/>
  </r>
  <r>
    <x v="123"/>
    <x v="3"/>
    <x v="2"/>
    <x v="1"/>
    <n v="10"/>
    <n v="120"/>
    <n v="1200"/>
  </r>
  <r>
    <x v="127"/>
    <x v="1"/>
    <x v="0"/>
    <x v="0"/>
    <n v="5"/>
    <n v="500"/>
    <n v="2500"/>
  </r>
  <r>
    <x v="78"/>
    <x v="1"/>
    <x v="5"/>
    <x v="6"/>
    <n v="2"/>
    <n v="350"/>
    <n v="700"/>
  </r>
  <r>
    <x v="128"/>
    <x v="3"/>
    <x v="2"/>
    <x v="2"/>
    <n v="5"/>
    <n v="50"/>
    <n v="250"/>
  </r>
  <r>
    <x v="129"/>
    <x v="0"/>
    <x v="0"/>
    <x v="1"/>
    <n v="5"/>
    <n v="350"/>
    <n v="1750"/>
  </r>
  <r>
    <x v="128"/>
    <x v="2"/>
    <x v="5"/>
    <x v="5"/>
    <n v="9"/>
    <n v="500"/>
    <n v="4500"/>
  </r>
  <r>
    <x v="62"/>
    <x v="2"/>
    <x v="2"/>
    <x v="6"/>
    <n v="7"/>
    <n v="500"/>
    <n v="3500"/>
  </r>
  <r>
    <x v="130"/>
    <x v="1"/>
    <x v="4"/>
    <x v="0"/>
    <n v="7"/>
    <n v="120"/>
    <n v="840"/>
  </r>
  <r>
    <x v="82"/>
    <x v="0"/>
    <x v="3"/>
    <x v="4"/>
    <n v="6"/>
    <n v="200"/>
    <n v="1200"/>
  </r>
  <r>
    <x v="94"/>
    <x v="3"/>
    <x v="0"/>
    <x v="2"/>
    <n v="7"/>
    <n v="800"/>
    <n v="5600"/>
  </r>
  <r>
    <x v="131"/>
    <x v="1"/>
    <x v="1"/>
    <x v="0"/>
    <n v="6"/>
    <n v="120"/>
    <n v="720"/>
  </r>
  <r>
    <x v="109"/>
    <x v="1"/>
    <x v="2"/>
    <x v="0"/>
    <n v="1"/>
    <n v="500"/>
    <n v="500"/>
  </r>
  <r>
    <x v="132"/>
    <x v="1"/>
    <x v="1"/>
    <x v="2"/>
    <n v="4"/>
    <n v="350"/>
    <n v="1400"/>
  </r>
  <r>
    <x v="9"/>
    <x v="1"/>
    <x v="0"/>
    <x v="3"/>
    <n v="8"/>
    <n v="800"/>
    <n v="6400"/>
  </r>
  <r>
    <x v="60"/>
    <x v="3"/>
    <x v="2"/>
    <x v="1"/>
    <n v="3"/>
    <n v="120"/>
    <n v="360"/>
  </r>
  <r>
    <x v="127"/>
    <x v="1"/>
    <x v="1"/>
    <x v="4"/>
    <n v="1"/>
    <n v="500"/>
    <n v="500"/>
  </r>
  <r>
    <x v="133"/>
    <x v="2"/>
    <x v="0"/>
    <x v="5"/>
    <n v="3"/>
    <n v="120"/>
    <n v="360"/>
  </r>
  <r>
    <x v="134"/>
    <x v="1"/>
    <x v="1"/>
    <x v="0"/>
    <n v="4"/>
    <n v="800"/>
    <n v="3200"/>
  </r>
  <r>
    <x v="135"/>
    <x v="0"/>
    <x v="0"/>
    <x v="2"/>
    <n v="3"/>
    <n v="200"/>
    <n v="600"/>
  </r>
  <r>
    <x v="119"/>
    <x v="3"/>
    <x v="5"/>
    <x v="3"/>
    <n v="8"/>
    <n v="200"/>
    <n v="1600"/>
  </r>
  <r>
    <x v="110"/>
    <x v="2"/>
    <x v="5"/>
    <x v="2"/>
    <n v="4"/>
    <n v="350"/>
    <n v="1400"/>
  </r>
  <r>
    <x v="72"/>
    <x v="2"/>
    <x v="1"/>
    <x v="4"/>
    <n v="5"/>
    <n v="800"/>
    <n v="4000"/>
  </r>
  <r>
    <x v="136"/>
    <x v="3"/>
    <x v="1"/>
    <x v="6"/>
    <n v="5"/>
    <n v="500"/>
    <n v="2500"/>
  </r>
  <r>
    <x v="137"/>
    <x v="1"/>
    <x v="3"/>
    <x v="5"/>
    <n v="8"/>
    <n v="350"/>
    <n v="2800"/>
  </r>
  <r>
    <x v="108"/>
    <x v="3"/>
    <x v="2"/>
    <x v="6"/>
    <n v="9"/>
    <n v="200"/>
    <n v="1800"/>
  </r>
  <r>
    <x v="138"/>
    <x v="2"/>
    <x v="0"/>
    <x v="6"/>
    <n v="4"/>
    <n v="350"/>
    <n v="1400"/>
  </r>
  <r>
    <x v="139"/>
    <x v="1"/>
    <x v="1"/>
    <x v="1"/>
    <n v="6"/>
    <n v="500"/>
    <n v="3000"/>
  </r>
  <r>
    <x v="83"/>
    <x v="1"/>
    <x v="5"/>
    <x v="4"/>
    <n v="3"/>
    <n v="200"/>
    <n v="600"/>
  </r>
  <r>
    <x v="140"/>
    <x v="3"/>
    <x v="1"/>
    <x v="1"/>
    <n v="8"/>
    <n v="50"/>
    <n v="400"/>
  </r>
  <r>
    <x v="141"/>
    <x v="0"/>
    <x v="0"/>
    <x v="2"/>
    <n v="3"/>
    <n v="200"/>
    <n v="600"/>
  </r>
  <r>
    <x v="142"/>
    <x v="0"/>
    <x v="5"/>
    <x v="1"/>
    <n v="5"/>
    <n v="120"/>
    <n v="600"/>
  </r>
  <r>
    <x v="143"/>
    <x v="1"/>
    <x v="0"/>
    <x v="4"/>
    <n v="2"/>
    <n v="800"/>
    <n v="1600"/>
  </r>
  <r>
    <x v="71"/>
    <x v="1"/>
    <x v="4"/>
    <x v="5"/>
    <n v="8"/>
    <n v="800"/>
    <n v="6400"/>
  </r>
  <r>
    <x v="132"/>
    <x v="0"/>
    <x v="3"/>
    <x v="0"/>
    <n v="5"/>
    <n v="80"/>
    <n v="400"/>
  </r>
  <r>
    <x v="129"/>
    <x v="0"/>
    <x v="0"/>
    <x v="2"/>
    <n v="2"/>
    <n v="200"/>
    <n v="400"/>
  </r>
  <r>
    <x v="144"/>
    <x v="3"/>
    <x v="1"/>
    <x v="4"/>
    <n v="1"/>
    <n v="120"/>
    <n v="120"/>
  </r>
  <r>
    <x v="16"/>
    <x v="3"/>
    <x v="4"/>
    <x v="6"/>
    <n v="7"/>
    <n v="80"/>
    <n v="5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7CF481-A40E-468B-8F69-EABF55DF1ADE}"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31" firstHeaderRow="1" firstDataRow="1" firstDataCol="1"/>
  <pivotFields count="8">
    <pivotField numFmtId="22" showAll="0">
      <items count="146">
        <item x="95"/>
        <item x="24"/>
        <item x="120"/>
        <item x="29"/>
        <item x="101"/>
        <item x="140"/>
        <item x="128"/>
        <item x="7"/>
        <item x="44"/>
        <item x="60"/>
        <item x="16"/>
        <item x="48"/>
        <item x="123"/>
        <item x="17"/>
        <item x="49"/>
        <item x="31"/>
        <item x="36"/>
        <item x="63"/>
        <item x="8"/>
        <item x="122"/>
        <item x="129"/>
        <item x="11"/>
        <item x="135"/>
        <item x="74"/>
        <item x="88"/>
        <item x="87"/>
        <item x="26"/>
        <item x="22"/>
        <item x="28"/>
        <item x="32"/>
        <item x="144"/>
        <item x="66"/>
        <item x="27"/>
        <item x="112"/>
        <item x="104"/>
        <item x="69"/>
        <item x="99"/>
        <item x="115"/>
        <item x="1"/>
        <item x="126"/>
        <item x="70"/>
        <item x="117"/>
        <item x="3"/>
        <item x="30"/>
        <item x="110"/>
        <item x="14"/>
        <item x="50"/>
        <item x="65"/>
        <item x="91"/>
        <item x="25"/>
        <item x="5"/>
        <item x="81"/>
        <item x="119"/>
        <item x="137"/>
        <item x="77"/>
        <item x="56"/>
        <item x="64"/>
        <item x="85"/>
        <item x="52"/>
        <item x="82"/>
        <item x="109"/>
        <item x="71"/>
        <item x="37"/>
        <item x="61"/>
        <item x="35"/>
        <item x="107"/>
        <item x="59"/>
        <item x="116"/>
        <item x="9"/>
        <item x="103"/>
        <item x="12"/>
        <item x="6"/>
        <item x="23"/>
        <item x="139"/>
        <item x="78"/>
        <item x="39"/>
        <item x="67"/>
        <item x="136"/>
        <item x="79"/>
        <item x="40"/>
        <item x="73"/>
        <item x="75"/>
        <item x="127"/>
        <item x="62"/>
        <item x="45"/>
        <item x="138"/>
        <item x="54"/>
        <item x="43"/>
        <item x="98"/>
        <item x="83"/>
        <item x="108"/>
        <item x="46"/>
        <item x="130"/>
        <item x="21"/>
        <item x="55"/>
        <item x="72"/>
        <item x="84"/>
        <item x="34"/>
        <item x="92"/>
        <item x="141"/>
        <item x="106"/>
        <item x="118"/>
        <item x="42"/>
        <item x="38"/>
        <item x="132"/>
        <item x="96"/>
        <item x="90"/>
        <item x="131"/>
        <item x="134"/>
        <item x="58"/>
        <item x="113"/>
        <item x="19"/>
        <item x="80"/>
        <item x="86"/>
        <item x="47"/>
        <item x="20"/>
        <item x="2"/>
        <item x="89"/>
        <item x="111"/>
        <item x="133"/>
        <item x="143"/>
        <item x="125"/>
        <item x="0"/>
        <item x="18"/>
        <item x="53"/>
        <item x="4"/>
        <item x="100"/>
        <item x="41"/>
        <item x="142"/>
        <item x="51"/>
        <item x="10"/>
        <item x="57"/>
        <item x="76"/>
        <item x="102"/>
        <item x="97"/>
        <item x="13"/>
        <item x="105"/>
        <item x="121"/>
        <item x="15"/>
        <item x="33"/>
        <item x="94"/>
        <item x="68"/>
        <item x="124"/>
        <item x="114"/>
        <item x="93"/>
        <item t="default"/>
      </items>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sortType="descending">
      <items count="7">
        <item x="0"/>
        <item x="1"/>
        <item x="4"/>
        <item x="5"/>
        <item x="3"/>
        <item x="2"/>
        <item t="default"/>
      </items>
      <autoSortScope>
        <pivotArea dataOnly="0" outline="0" fieldPosition="0">
          <references count="1">
            <reference field="4294967294" count="1" selected="0">
              <x v="0"/>
            </reference>
          </references>
        </pivotArea>
      </autoSortScope>
    </pivotField>
    <pivotField showAll="0" sortType="descending">
      <items count="8">
        <item x="3"/>
        <item x="6"/>
        <item x="0"/>
        <item x="2"/>
        <item x="1"/>
        <item x="5"/>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items count="15">
        <item x="0"/>
        <item x="1"/>
        <item x="2"/>
        <item x="3"/>
        <item x="4"/>
        <item x="5"/>
        <item x="6"/>
        <item x="7"/>
        <item x="8"/>
        <item x="9"/>
        <item x="10"/>
        <item x="11"/>
        <item x="12"/>
        <item x="13"/>
        <item t="default"/>
      </items>
    </pivotField>
  </pivotFields>
  <rowFields count="1">
    <field x="1"/>
  </rowFields>
  <rowItems count="5">
    <i>
      <x v="3"/>
    </i>
    <i>
      <x v="1"/>
    </i>
    <i>
      <x v="2"/>
    </i>
    <i>
      <x/>
    </i>
    <i t="grand">
      <x/>
    </i>
  </rowItems>
  <colItems count="1">
    <i/>
  </colItems>
  <dataFields count="1">
    <dataField name="Sum of Revenue ($)"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FDCE52-5065-4CBF-A9E3-AC641FF3915A}"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22" firstHeaderRow="1" firstDataRow="1" firstDataCol="1"/>
  <pivotFields count="8">
    <pivotField numFmtId="22" showAll="0">
      <items count="146">
        <item x="95"/>
        <item x="24"/>
        <item x="120"/>
        <item x="29"/>
        <item x="101"/>
        <item x="140"/>
        <item x="128"/>
        <item x="7"/>
        <item x="44"/>
        <item x="60"/>
        <item x="16"/>
        <item x="48"/>
        <item x="123"/>
        <item x="17"/>
        <item x="49"/>
        <item x="31"/>
        <item x="36"/>
        <item x="63"/>
        <item x="8"/>
        <item x="122"/>
        <item x="129"/>
        <item x="11"/>
        <item x="135"/>
        <item x="74"/>
        <item x="88"/>
        <item x="87"/>
        <item x="26"/>
        <item x="22"/>
        <item x="28"/>
        <item x="32"/>
        <item x="144"/>
        <item x="66"/>
        <item x="27"/>
        <item x="112"/>
        <item x="104"/>
        <item x="69"/>
        <item x="99"/>
        <item x="115"/>
        <item x="1"/>
        <item x="126"/>
        <item x="70"/>
        <item x="117"/>
        <item x="3"/>
        <item x="30"/>
        <item x="110"/>
        <item x="14"/>
        <item x="50"/>
        <item x="65"/>
        <item x="91"/>
        <item x="25"/>
        <item x="5"/>
        <item x="81"/>
        <item x="119"/>
        <item x="137"/>
        <item x="77"/>
        <item x="56"/>
        <item x="64"/>
        <item x="85"/>
        <item x="52"/>
        <item x="82"/>
        <item x="109"/>
        <item x="71"/>
        <item x="37"/>
        <item x="61"/>
        <item x="35"/>
        <item x="107"/>
        <item x="59"/>
        <item x="116"/>
        <item x="9"/>
        <item x="103"/>
        <item x="12"/>
        <item x="6"/>
        <item x="23"/>
        <item x="139"/>
        <item x="78"/>
        <item x="39"/>
        <item x="67"/>
        <item x="136"/>
        <item x="79"/>
        <item x="40"/>
        <item x="73"/>
        <item x="75"/>
        <item x="127"/>
        <item x="62"/>
        <item x="45"/>
        <item x="138"/>
        <item x="54"/>
        <item x="43"/>
        <item x="98"/>
        <item x="83"/>
        <item x="108"/>
        <item x="46"/>
        <item x="130"/>
        <item x="21"/>
        <item x="55"/>
        <item x="72"/>
        <item x="84"/>
        <item x="34"/>
        <item x="92"/>
        <item x="141"/>
        <item x="106"/>
        <item x="118"/>
        <item x="42"/>
        <item x="38"/>
        <item x="132"/>
        <item x="96"/>
        <item x="90"/>
        <item x="131"/>
        <item x="134"/>
        <item x="58"/>
        <item x="113"/>
        <item x="19"/>
        <item x="80"/>
        <item x="86"/>
        <item x="47"/>
        <item x="20"/>
        <item x="2"/>
        <item x="89"/>
        <item x="111"/>
        <item x="133"/>
        <item x="143"/>
        <item x="125"/>
        <item x="0"/>
        <item x="18"/>
        <item x="53"/>
        <item x="4"/>
        <item x="100"/>
        <item x="41"/>
        <item x="142"/>
        <item x="51"/>
        <item x="10"/>
        <item x="57"/>
        <item x="76"/>
        <item x="102"/>
        <item x="97"/>
        <item x="13"/>
        <item x="105"/>
        <item x="121"/>
        <item x="15"/>
        <item x="33"/>
        <item x="94"/>
        <item x="68"/>
        <item x="124"/>
        <item x="114"/>
        <item x="93"/>
        <item t="default"/>
      </items>
    </pivotField>
    <pivotField showAll="0"/>
    <pivotField axis="axisRow" showAll="0" sortType="descending">
      <items count="7">
        <item x="0"/>
        <item x="1"/>
        <item x="4"/>
        <item x="5"/>
        <item x="3"/>
        <item x="2"/>
        <item t="default"/>
      </items>
      <autoSortScope>
        <pivotArea dataOnly="0" outline="0" fieldPosition="0">
          <references count="1">
            <reference field="4294967294" count="1" selected="0">
              <x v="0"/>
            </reference>
          </references>
        </pivotArea>
      </autoSortScope>
    </pivotField>
    <pivotField showAll="0" sortType="descending">
      <items count="8">
        <item x="3"/>
        <item x="6"/>
        <item x="0"/>
        <item x="2"/>
        <item x="1"/>
        <item x="5"/>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items count="15">
        <item x="0"/>
        <item x="1"/>
        <item x="2"/>
        <item x="3"/>
        <item x="4"/>
        <item x="5"/>
        <item x="6"/>
        <item x="7"/>
        <item x="8"/>
        <item x="9"/>
        <item x="10"/>
        <item x="11"/>
        <item x="12"/>
        <item x="13"/>
        <item t="default"/>
      </items>
    </pivotField>
  </pivotFields>
  <rowFields count="1">
    <field x="2"/>
  </rowFields>
  <rowItems count="7">
    <i>
      <x/>
    </i>
    <i>
      <x v="3"/>
    </i>
    <i>
      <x v="1"/>
    </i>
    <i>
      <x v="4"/>
    </i>
    <i>
      <x v="2"/>
    </i>
    <i>
      <x v="5"/>
    </i>
    <i t="grand">
      <x/>
    </i>
  </rowItems>
  <colItems count="1">
    <i/>
  </colItems>
  <dataFields count="1">
    <dataField name="Sum of Revenue ($)"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6BC183-C497-464C-8297-70538D805110}"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1" firstHeaderRow="1" firstDataRow="1" firstDataCol="1"/>
  <pivotFields count="8">
    <pivotField numFmtId="22" showAll="0">
      <items count="146">
        <item x="95"/>
        <item x="24"/>
        <item x="120"/>
        <item x="29"/>
        <item x="101"/>
        <item x="140"/>
        <item x="128"/>
        <item x="7"/>
        <item x="44"/>
        <item x="60"/>
        <item x="16"/>
        <item x="48"/>
        <item x="123"/>
        <item x="17"/>
        <item x="49"/>
        <item x="31"/>
        <item x="36"/>
        <item x="63"/>
        <item x="8"/>
        <item x="122"/>
        <item x="129"/>
        <item x="11"/>
        <item x="135"/>
        <item x="74"/>
        <item x="88"/>
        <item x="87"/>
        <item x="26"/>
        <item x="22"/>
        <item x="28"/>
        <item x="32"/>
        <item x="144"/>
        <item x="66"/>
        <item x="27"/>
        <item x="112"/>
        <item x="104"/>
        <item x="69"/>
        <item x="99"/>
        <item x="115"/>
        <item x="1"/>
        <item x="126"/>
        <item x="70"/>
        <item x="117"/>
        <item x="3"/>
        <item x="30"/>
        <item x="110"/>
        <item x="14"/>
        <item x="50"/>
        <item x="65"/>
        <item x="91"/>
        <item x="25"/>
        <item x="5"/>
        <item x="81"/>
        <item x="119"/>
        <item x="137"/>
        <item x="77"/>
        <item x="56"/>
        <item x="64"/>
        <item x="85"/>
        <item x="52"/>
        <item x="82"/>
        <item x="109"/>
        <item x="71"/>
        <item x="37"/>
        <item x="61"/>
        <item x="35"/>
        <item x="107"/>
        <item x="59"/>
        <item x="116"/>
        <item x="9"/>
        <item x="103"/>
        <item x="12"/>
        <item x="6"/>
        <item x="23"/>
        <item x="139"/>
        <item x="78"/>
        <item x="39"/>
        <item x="67"/>
        <item x="136"/>
        <item x="79"/>
        <item x="40"/>
        <item x="73"/>
        <item x="75"/>
        <item x="127"/>
        <item x="62"/>
        <item x="45"/>
        <item x="138"/>
        <item x="54"/>
        <item x="43"/>
        <item x="98"/>
        <item x="83"/>
        <item x="108"/>
        <item x="46"/>
        <item x="130"/>
        <item x="21"/>
        <item x="55"/>
        <item x="72"/>
        <item x="84"/>
        <item x="34"/>
        <item x="92"/>
        <item x="141"/>
        <item x="106"/>
        <item x="118"/>
        <item x="42"/>
        <item x="38"/>
        <item x="132"/>
        <item x="96"/>
        <item x="90"/>
        <item x="131"/>
        <item x="134"/>
        <item x="58"/>
        <item x="113"/>
        <item x="19"/>
        <item x="80"/>
        <item x="86"/>
        <item x="47"/>
        <item x="20"/>
        <item x="2"/>
        <item x="89"/>
        <item x="111"/>
        <item x="133"/>
        <item x="143"/>
        <item x="125"/>
        <item x="0"/>
        <item x="18"/>
        <item x="53"/>
        <item x="4"/>
        <item x="100"/>
        <item x="41"/>
        <item x="142"/>
        <item x="51"/>
        <item x="10"/>
        <item x="57"/>
        <item x="76"/>
        <item x="102"/>
        <item x="97"/>
        <item x="13"/>
        <item x="105"/>
        <item x="121"/>
        <item x="15"/>
        <item x="33"/>
        <item x="94"/>
        <item x="68"/>
        <item x="124"/>
        <item x="114"/>
        <item x="93"/>
        <item t="default"/>
      </items>
    </pivotField>
    <pivotField showAll="0"/>
    <pivotField showAll="0"/>
    <pivotField axis="axisRow" showAll="0" sortType="descending">
      <items count="8">
        <item x="3"/>
        <item x="6"/>
        <item x="0"/>
        <item x="2"/>
        <item x="1"/>
        <item x="5"/>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items count="15">
        <item x="0"/>
        <item x="1"/>
        <item x="2"/>
        <item x="3"/>
        <item x="4"/>
        <item x="5"/>
        <item x="6"/>
        <item x="7"/>
        <item x="8"/>
        <item x="9"/>
        <item x="10"/>
        <item x="11"/>
        <item x="12"/>
        <item x="13"/>
        <item t="default"/>
      </items>
    </pivotField>
  </pivotFields>
  <rowFields count="1">
    <field x="3"/>
  </rowFields>
  <rowItems count="8">
    <i>
      <x/>
    </i>
    <i>
      <x v="3"/>
    </i>
    <i>
      <x v="1"/>
    </i>
    <i>
      <x v="4"/>
    </i>
    <i>
      <x v="5"/>
    </i>
    <i>
      <x v="6"/>
    </i>
    <i>
      <x v="2"/>
    </i>
    <i t="grand">
      <x/>
    </i>
  </rowItems>
  <colItems count="1">
    <i/>
  </colItems>
  <dataFields count="1">
    <dataField name="Sum of Revenue ($)"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4CE59E-D3FE-40D8-8FBB-5741F182EACE}"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6:F34" firstHeaderRow="1" firstDataRow="1" firstDataCol="1"/>
  <pivotFields count="8">
    <pivotField numFmtId="22" showAll="0">
      <items count="146">
        <item x="95"/>
        <item x="24"/>
        <item x="120"/>
        <item x="29"/>
        <item x="101"/>
        <item x="140"/>
        <item x="128"/>
        <item x="7"/>
        <item x="44"/>
        <item x="60"/>
        <item x="16"/>
        <item x="48"/>
        <item x="123"/>
        <item x="17"/>
        <item x="49"/>
        <item x="31"/>
        <item x="36"/>
        <item x="63"/>
        <item x="8"/>
        <item x="122"/>
        <item x="129"/>
        <item x="11"/>
        <item x="135"/>
        <item x="74"/>
        <item x="88"/>
        <item x="87"/>
        <item x="26"/>
        <item x="22"/>
        <item x="28"/>
        <item x="32"/>
        <item x="144"/>
        <item x="66"/>
        <item x="27"/>
        <item x="112"/>
        <item x="104"/>
        <item x="69"/>
        <item x="99"/>
        <item x="115"/>
        <item x="1"/>
        <item x="126"/>
        <item x="70"/>
        <item x="117"/>
        <item x="3"/>
        <item x="30"/>
        <item x="110"/>
        <item x="14"/>
        <item x="50"/>
        <item x="65"/>
        <item x="91"/>
        <item x="25"/>
        <item x="5"/>
        <item x="81"/>
        <item x="119"/>
        <item x="137"/>
        <item x="77"/>
        <item x="56"/>
        <item x="64"/>
        <item x="85"/>
        <item x="52"/>
        <item x="82"/>
        <item x="109"/>
        <item x="71"/>
        <item x="37"/>
        <item x="61"/>
        <item x="35"/>
        <item x="107"/>
        <item x="59"/>
        <item x="116"/>
        <item x="9"/>
        <item x="103"/>
        <item x="12"/>
        <item x="6"/>
        <item x="23"/>
        <item x="139"/>
        <item x="78"/>
        <item x="39"/>
        <item x="67"/>
        <item x="136"/>
        <item x="79"/>
        <item x="40"/>
        <item x="73"/>
        <item x="75"/>
        <item x="127"/>
        <item x="62"/>
        <item x="45"/>
        <item x="138"/>
        <item x="54"/>
        <item x="43"/>
        <item x="98"/>
        <item x="83"/>
        <item x="108"/>
        <item x="46"/>
        <item x="130"/>
        <item x="21"/>
        <item x="55"/>
        <item x="72"/>
        <item x="84"/>
        <item x="34"/>
        <item x="92"/>
        <item x="141"/>
        <item x="106"/>
        <item x="118"/>
        <item x="42"/>
        <item x="38"/>
        <item x="132"/>
        <item x="96"/>
        <item x="90"/>
        <item x="131"/>
        <item x="134"/>
        <item x="58"/>
        <item x="113"/>
        <item x="19"/>
        <item x="80"/>
        <item x="86"/>
        <item x="47"/>
        <item x="20"/>
        <item x="2"/>
        <item x="89"/>
        <item x="111"/>
        <item x="133"/>
        <item x="143"/>
        <item x="125"/>
        <item x="0"/>
        <item x="18"/>
        <item x="53"/>
        <item x="4"/>
        <item x="100"/>
        <item x="41"/>
        <item x="142"/>
        <item x="51"/>
        <item x="10"/>
        <item x="57"/>
        <item x="76"/>
        <item x="102"/>
        <item x="97"/>
        <item x="13"/>
        <item x="105"/>
        <item x="121"/>
        <item x="15"/>
        <item x="33"/>
        <item x="94"/>
        <item x="68"/>
        <item x="124"/>
        <item x="114"/>
        <item x="93"/>
        <item t="default"/>
      </items>
    </pivotField>
    <pivotField showAll="0">
      <items count="5">
        <item x="3"/>
        <item x="0"/>
        <item x="2"/>
        <item x="1"/>
        <item t="default"/>
      </items>
    </pivotField>
    <pivotField showAll="0">
      <items count="7">
        <item x="0"/>
        <item x="1"/>
        <item x="4"/>
        <item x="5"/>
        <item x="3"/>
        <item x="2"/>
        <item t="default"/>
      </items>
    </pivotField>
    <pivotField axis="axisRow" showAll="0" sortType="descending">
      <items count="8">
        <item x="3"/>
        <item x="6"/>
        <item x="0"/>
        <item x="2"/>
        <item x="1"/>
        <item x="5"/>
        <item x="4"/>
        <item t="default"/>
      </items>
      <autoSortScope>
        <pivotArea dataOnly="0" outline="0" fieldPosition="0">
          <references count="1">
            <reference field="4294967294" count="1" selected="0">
              <x v="0"/>
            </reference>
          </references>
        </pivotArea>
      </autoSortScope>
    </pivotField>
    <pivotField dataField="1" showAll="0"/>
    <pivotField showAll="0"/>
    <pivotField numFmtId="164" showAll="0"/>
    <pivotField showAll="0">
      <items count="15">
        <item x="0"/>
        <item x="1"/>
        <item x="2"/>
        <item x="3"/>
        <item x="4"/>
        <item x="5"/>
        <item x="6"/>
        <item x="7"/>
        <item x="8"/>
        <item x="9"/>
        <item x="10"/>
        <item x="11"/>
        <item x="12"/>
        <item x="13"/>
        <item t="default"/>
      </items>
    </pivotField>
  </pivotFields>
  <rowFields count="1">
    <field x="3"/>
  </rowFields>
  <rowItems count="8">
    <i>
      <x v="4"/>
    </i>
    <i>
      <x v="3"/>
    </i>
    <i>
      <x/>
    </i>
    <i>
      <x v="1"/>
    </i>
    <i>
      <x v="2"/>
    </i>
    <i>
      <x v="5"/>
    </i>
    <i>
      <x v="6"/>
    </i>
    <i t="grand">
      <x/>
    </i>
  </rowItems>
  <colItems count="1">
    <i/>
  </colItems>
  <dataFields count="1">
    <dataField name="Sum of Units Sold" fld="4"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01F044-AB3C-47DC-BE64-A36F62C193F4}"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43" firstHeaderRow="1" firstDataRow="1" firstDataCol="1"/>
  <pivotFields count="8">
    <pivotField numFmtId="22" showAll="0">
      <items count="146">
        <item x="95"/>
        <item x="24"/>
        <item x="120"/>
        <item x="29"/>
        <item x="101"/>
        <item x="140"/>
        <item x="128"/>
        <item x="7"/>
        <item x="44"/>
        <item x="60"/>
        <item x="16"/>
        <item x="48"/>
        <item x="123"/>
        <item x="17"/>
        <item x="49"/>
        <item x="31"/>
        <item x="36"/>
        <item x="63"/>
        <item x="8"/>
        <item x="122"/>
        <item x="129"/>
        <item x="11"/>
        <item x="135"/>
        <item x="74"/>
        <item x="88"/>
        <item x="87"/>
        <item x="26"/>
        <item x="22"/>
        <item x="28"/>
        <item x="32"/>
        <item x="144"/>
        <item x="66"/>
        <item x="27"/>
        <item x="112"/>
        <item x="104"/>
        <item x="69"/>
        <item x="99"/>
        <item x="115"/>
        <item x="1"/>
        <item x="126"/>
        <item x="70"/>
        <item x="117"/>
        <item x="3"/>
        <item x="30"/>
        <item x="110"/>
        <item x="14"/>
        <item x="50"/>
        <item x="65"/>
        <item x="91"/>
        <item x="25"/>
        <item x="5"/>
        <item x="81"/>
        <item x="119"/>
        <item x="137"/>
        <item x="77"/>
        <item x="56"/>
        <item x="64"/>
        <item x="85"/>
        <item x="52"/>
        <item x="82"/>
        <item x="109"/>
        <item x="71"/>
        <item x="37"/>
        <item x="61"/>
        <item x="35"/>
        <item x="107"/>
        <item x="59"/>
        <item x="116"/>
        <item x="9"/>
        <item x="103"/>
        <item x="12"/>
        <item x="6"/>
        <item x="23"/>
        <item x="139"/>
        <item x="78"/>
        <item x="39"/>
        <item x="67"/>
        <item x="136"/>
        <item x="79"/>
        <item x="40"/>
        <item x="73"/>
        <item x="75"/>
        <item x="127"/>
        <item x="62"/>
        <item x="45"/>
        <item x="138"/>
        <item x="54"/>
        <item x="43"/>
        <item x="98"/>
        <item x="83"/>
        <item x="108"/>
        <item x="46"/>
        <item x="130"/>
        <item x="21"/>
        <item x="55"/>
        <item x="72"/>
        <item x="84"/>
        <item x="34"/>
        <item x="92"/>
        <item x="141"/>
        <item x="106"/>
        <item x="118"/>
        <item x="42"/>
        <item x="38"/>
        <item x="132"/>
        <item x="96"/>
        <item x="90"/>
        <item x="131"/>
        <item x="134"/>
        <item x="58"/>
        <item x="113"/>
        <item x="19"/>
        <item x="80"/>
        <item x="86"/>
        <item x="47"/>
        <item x="20"/>
        <item x="2"/>
        <item x="89"/>
        <item x="111"/>
        <item x="133"/>
        <item x="143"/>
        <item x="125"/>
        <item x="0"/>
        <item x="18"/>
        <item x="53"/>
        <item x="4"/>
        <item x="100"/>
        <item x="41"/>
        <item x="142"/>
        <item x="51"/>
        <item x="10"/>
        <item x="57"/>
        <item x="76"/>
        <item x="102"/>
        <item x="97"/>
        <item x="13"/>
        <item x="105"/>
        <item x="121"/>
        <item x="15"/>
        <item x="33"/>
        <item x="94"/>
        <item x="68"/>
        <item x="124"/>
        <item x="114"/>
        <item x="93"/>
        <item t="default"/>
      </items>
    </pivotField>
    <pivotField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sortType="descending">
      <items count="7">
        <item x="0"/>
        <item x="1"/>
        <item x="4"/>
        <item x="5"/>
        <item x="3"/>
        <item x="2"/>
        <item t="default"/>
      </items>
      <autoSortScope>
        <pivotArea dataOnly="0" outline="0" fieldPosition="0">
          <references count="1">
            <reference field="4294967294" count="1" selected="0">
              <x v="0"/>
            </reference>
          </references>
        </pivotArea>
      </autoSortScope>
    </pivotField>
    <pivotField axis="axisRow" showAll="0" sortType="descending">
      <items count="8">
        <item x="3"/>
        <item x="6"/>
        <item x="0"/>
        <item x="2"/>
        <item x="1"/>
        <item x="5"/>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items count="15">
        <item x="0"/>
        <item x="1"/>
        <item x="2"/>
        <item x="3"/>
        <item x="4"/>
        <item x="5"/>
        <item x="6"/>
        <item x="7"/>
        <item x="8"/>
        <item x="9"/>
        <item x="10"/>
        <item x="11"/>
        <item x="12"/>
        <item x="13"/>
        <item t="default"/>
      </items>
    </pivotField>
  </pivotFields>
  <rowFields count="1">
    <field x="3"/>
  </rowFields>
  <rowItems count="8">
    <i>
      <x/>
    </i>
    <i>
      <x v="3"/>
    </i>
    <i>
      <x v="1"/>
    </i>
    <i>
      <x v="4"/>
    </i>
    <i>
      <x v="5"/>
    </i>
    <i>
      <x v="6"/>
    </i>
    <i>
      <x v="2"/>
    </i>
    <i t="grand">
      <x/>
    </i>
  </rowItems>
  <colItems count="1">
    <i/>
  </colItems>
  <dataFields count="1">
    <dataField name="Sum of Revenue ($)" fld="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684E1B-768E-4A6E-9370-FE21DD731454}" name="PivotTable2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8:B45" firstHeaderRow="1" firstDataRow="1" firstDataCol="1"/>
  <pivotFields count="8">
    <pivotField numFmtId="22" showAll="0">
      <items count="146">
        <item x="95"/>
        <item x="24"/>
        <item x="120"/>
        <item x="29"/>
        <item x="101"/>
        <item x="140"/>
        <item x="128"/>
        <item x="7"/>
        <item x="44"/>
        <item x="60"/>
        <item x="16"/>
        <item x="48"/>
        <item x="123"/>
        <item x="17"/>
        <item x="49"/>
        <item x="31"/>
        <item x="36"/>
        <item x="63"/>
        <item x="8"/>
        <item x="122"/>
        <item x="129"/>
        <item x="11"/>
        <item x="135"/>
        <item x="74"/>
        <item x="88"/>
        <item x="87"/>
        <item x="26"/>
        <item x="22"/>
        <item x="28"/>
        <item x="32"/>
        <item x="144"/>
        <item x="66"/>
        <item x="27"/>
        <item x="112"/>
        <item x="104"/>
        <item x="69"/>
        <item x="99"/>
        <item x="115"/>
        <item x="1"/>
        <item x="126"/>
        <item x="70"/>
        <item x="117"/>
        <item x="3"/>
        <item x="30"/>
        <item x="110"/>
        <item x="14"/>
        <item x="50"/>
        <item x="65"/>
        <item x="91"/>
        <item x="25"/>
        <item x="5"/>
        <item x="81"/>
        <item x="119"/>
        <item x="137"/>
        <item x="77"/>
        <item x="56"/>
        <item x="64"/>
        <item x="85"/>
        <item x="52"/>
        <item x="82"/>
        <item x="109"/>
        <item x="71"/>
        <item x="37"/>
        <item x="61"/>
        <item x="35"/>
        <item x="107"/>
        <item x="59"/>
        <item x="116"/>
        <item x="9"/>
        <item x="103"/>
        <item x="12"/>
        <item x="6"/>
        <item x="23"/>
        <item x="139"/>
        <item x="78"/>
        <item x="39"/>
        <item x="67"/>
        <item x="136"/>
        <item x="79"/>
        <item x="40"/>
        <item x="73"/>
        <item x="75"/>
        <item x="127"/>
        <item x="62"/>
        <item x="45"/>
        <item x="138"/>
        <item x="54"/>
        <item x="43"/>
        <item x="98"/>
        <item x="83"/>
        <item x="108"/>
        <item x="46"/>
        <item x="130"/>
        <item x="21"/>
        <item x="55"/>
        <item x="72"/>
        <item x="84"/>
        <item x="34"/>
        <item x="92"/>
        <item x="141"/>
        <item x="106"/>
        <item x="118"/>
        <item x="42"/>
        <item x="38"/>
        <item x="132"/>
        <item x="96"/>
        <item x="90"/>
        <item x="131"/>
        <item x="134"/>
        <item x="58"/>
        <item x="113"/>
        <item x="19"/>
        <item x="80"/>
        <item x="86"/>
        <item x="47"/>
        <item x="20"/>
        <item x="2"/>
        <item x="89"/>
        <item x="111"/>
        <item x="133"/>
        <item x="143"/>
        <item x="125"/>
        <item x="0"/>
        <item x="18"/>
        <item x="53"/>
        <item x="4"/>
        <item x="100"/>
        <item x="41"/>
        <item x="142"/>
        <item x="51"/>
        <item x="10"/>
        <item x="57"/>
        <item x="76"/>
        <item x="102"/>
        <item x="97"/>
        <item x="13"/>
        <item x="105"/>
        <item x="121"/>
        <item x="15"/>
        <item x="33"/>
        <item x="94"/>
        <item x="68"/>
        <item x="124"/>
        <item x="114"/>
        <item x="93"/>
        <item t="default"/>
      </items>
    </pivotField>
    <pivotField showAll="0"/>
    <pivotField axis="axisRow" showAll="0" sortType="descending">
      <items count="7">
        <item x="0"/>
        <item x="1"/>
        <item x="4"/>
        <item x="5"/>
        <item x="3"/>
        <item x="2"/>
        <item t="default"/>
      </items>
      <autoSortScope>
        <pivotArea dataOnly="0" outline="0" fieldPosition="0">
          <references count="1">
            <reference field="4294967294" count="1" selected="0">
              <x v="0"/>
            </reference>
          </references>
        </pivotArea>
      </autoSortScope>
    </pivotField>
    <pivotField showAll="0">
      <items count="8">
        <item x="3"/>
        <item x="6"/>
        <item x="0"/>
        <item x="2"/>
        <item x="1"/>
        <item x="5"/>
        <item x="4"/>
        <item t="default"/>
      </items>
    </pivotField>
    <pivotField showAll="0"/>
    <pivotField showAll="0"/>
    <pivotField dataField="1" numFmtId="164" showAll="0"/>
    <pivotField showAll="0">
      <items count="15">
        <item x="0"/>
        <item x="1"/>
        <item x="2"/>
        <item x="3"/>
        <item x="4"/>
        <item x="5"/>
        <item x="6"/>
        <item x="7"/>
        <item x="8"/>
        <item x="9"/>
        <item x="10"/>
        <item x="11"/>
        <item x="12"/>
        <item x="13"/>
        <item t="default"/>
      </items>
    </pivotField>
  </pivotFields>
  <rowFields count="1">
    <field x="2"/>
  </rowFields>
  <rowItems count="7">
    <i>
      <x/>
    </i>
    <i>
      <x v="3"/>
    </i>
    <i>
      <x v="1"/>
    </i>
    <i>
      <x v="4"/>
    </i>
    <i>
      <x v="2"/>
    </i>
    <i>
      <x v="5"/>
    </i>
    <i t="grand">
      <x/>
    </i>
  </rowItems>
  <colItems count="1">
    <i/>
  </colItems>
  <dataFields count="1">
    <dataField name="Sum of Revenue ($)" fld="6" baseField="0" baseItem="0" numFmtId="164"/>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F67EE9-394A-4FE1-B266-782972483247}" name="PivotTable1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3:B21" firstHeaderRow="1" firstDataRow="1" firstDataCol="1"/>
  <pivotFields count="8">
    <pivotField numFmtId="22" showAll="0">
      <items count="146">
        <item x="95"/>
        <item x="24"/>
        <item x="120"/>
        <item x="29"/>
        <item x="101"/>
        <item x="140"/>
        <item x="128"/>
        <item x="7"/>
        <item x="44"/>
        <item x="60"/>
        <item x="16"/>
        <item x="48"/>
        <item x="123"/>
        <item x="17"/>
        <item x="49"/>
        <item x="31"/>
        <item x="36"/>
        <item x="63"/>
        <item x="8"/>
        <item x="122"/>
        <item x="129"/>
        <item x="11"/>
        <item x="135"/>
        <item x="74"/>
        <item x="88"/>
        <item x="87"/>
        <item x="26"/>
        <item x="22"/>
        <item x="28"/>
        <item x="32"/>
        <item x="144"/>
        <item x="66"/>
        <item x="27"/>
        <item x="112"/>
        <item x="104"/>
        <item x="69"/>
        <item x="99"/>
        <item x="115"/>
        <item x="1"/>
        <item x="126"/>
        <item x="70"/>
        <item x="117"/>
        <item x="3"/>
        <item x="30"/>
        <item x="110"/>
        <item x="14"/>
        <item x="50"/>
        <item x="65"/>
        <item x="91"/>
        <item x="25"/>
        <item x="5"/>
        <item x="81"/>
        <item x="119"/>
        <item x="137"/>
        <item x="77"/>
        <item x="56"/>
        <item x="64"/>
        <item x="85"/>
        <item x="52"/>
        <item x="82"/>
        <item x="109"/>
        <item x="71"/>
        <item x="37"/>
        <item x="61"/>
        <item x="35"/>
        <item x="107"/>
        <item x="59"/>
        <item x="116"/>
        <item x="9"/>
        <item x="103"/>
        <item x="12"/>
        <item x="6"/>
        <item x="23"/>
        <item x="139"/>
        <item x="78"/>
        <item x="39"/>
        <item x="67"/>
        <item x="136"/>
        <item x="79"/>
        <item x="40"/>
        <item x="73"/>
        <item x="75"/>
        <item x="127"/>
        <item x="62"/>
        <item x="45"/>
        <item x="138"/>
        <item x="54"/>
        <item x="43"/>
        <item x="98"/>
        <item x="83"/>
        <item x="108"/>
        <item x="46"/>
        <item x="130"/>
        <item x="21"/>
        <item x="55"/>
        <item x="72"/>
        <item x="84"/>
        <item x="34"/>
        <item x="92"/>
        <item x="141"/>
        <item x="106"/>
        <item x="118"/>
        <item x="42"/>
        <item x="38"/>
        <item x="132"/>
        <item x="96"/>
        <item x="90"/>
        <item x="131"/>
        <item x="134"/>
        <item x="58"/>
        <item x="113"/>
        <item x="19"/>
        <item x="80"/>
        <item x="86"/>
        <item x="47"/>
        <item x="20"/>
        <item x="2"/>
        <item x="89"/>
        <item x="111"/>
        <item x="133"/>
        <item x="143"/>
        <item x="125"/>
        <item x="0"/>
        <item x="18"/>
        <item x="53"/>
        <item x="4"/>
        <item x="100"/>
        <item x="41"/>
        <item x="142"/>
        <item x="51"/>
        <item x="10"/>
        <item x="57"/>
        <item x="76"/>
        <item x="102"/>
        <item x="97"/>
        <item x="13"/>
        <item x="105"/>
        <item x="121"/>
        <item x="15"/>
        <item x="33"/>
        <item x="94"/>
        <item x="68"/>
        <item x="124"/>
        <item x="114"/>
        <item x="93"/>
        <item t="default"/>
      </items>
    </pivotField>
    <pivotField showAll="0">
      <items count="5">
        <item x="3"/>
        <item x="0"/>
        <item x="2"/>
        <item x="1"/>
        <item t="default"/>
      </items>
    </pivotField>
    <pivotField showAll="0">
      <items count="7">
        <item x="0"/>
        <item x="1"/>
        <item x="4"/>
        <item x="5"/>
        <item x="3"/>
        <item x="2"/>
        <item t="default"/>
      </items>
    </pivotField>
    <pivotField axis="axisRow" showAll="0" sortType="descending">
      <items count="8">
        <item x="3"/>
        <item x="6"/>
        <item x="0"/>
        <item x="2"/>
        <item x="1"/>
        <item x="5"/>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items count="15">
        <item x="0"/>
        <item x="1"/>
        <item x="2"/>
        <item x="3"/>
        <item x="4"/>
        <item x="5"/>
        <item x="6"/>
        <item x="7"/>
        <item x="8"/>
        <item x="9"/>
        <item x="10"/>
        <item x="11"/>
        <item x="12"/>
        <item x="13"/>
        <item t="default"/>
      </items>
    </pivotField>
  </pivotFields>
  <rowFields count="1">
    <field x="3"/>
  </rowFields>
  <rowItems count="8">
    <i>
      <x/>
    </i>
    <i>
      <x v="3"/>
    </i>
    <i>
      <x v="1"/>
    </i>
    <i>
      <x v="4"/>
    </i>
    <i>
      <x v="5"/>
    </i>
    <i>
      <x v="6"/>
    </i>
    <i>
      <x v="2"/>
    </i>
    <i t="grand">
      <x/>
    </i>
  </rowItems>
  <colItems count="1">
    <i/>
  </colItems>
  <dataFields count="1">
    <dataField name="Sum of Revenue ($)" fld="6"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5A2DD5-B1A7-4B91-A58C-0B1CB5BCA7C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s">
  <location ref="A3:B16" firstHeaderRow="1" firstDataRow="1" firstDataCol="1"/>
  <pivotFields count="8">
    <pivotField numFmtId="22" showAll="0">
      <items count="146">
        <item x="95"/>
        <item x="24"/>
        <item x="120"/>
        <item x="29"/>
        <item x="101"/>
        <item x="140"/>
        <item x="128"/>
        <item x="7"/>
        <item x="44"/>
        <item x="60"/>
        <item x="16"/>
        <item x="48"/>
        <item x="123"/>
        <item x="17"/>
        <item x="49"/>
        <item x="31"/>
        <item x="36"/>
        <item x="63"/>
        <item x="8"/>
        <item x="122"/>
        <item x="129"/>
        <item x="11"/>
        <item x="135"/>
        <item x="74"/>
        <item x="88"/>
        <item x="87"/>
        <item x="26"/>
        <item x="22"/>
        <item x="28"/>
        <item x="32"/>
        <item x="144"/>
        <item x="66"/>
        <item x="27"/>
        <item x="112"/>
        <item x="104"/>
        <item x="69"/>
        <item x="99"/>
        <item x="115"/>
        <item x="1"/>
        <item x="126"/>
        <item x="70"/>
        <item x="117"/>
        <item x="3"/>
        <item x="30"/>
        <item x="110"/>
        <item x="14"/>
        <item x="50"/>
        <item x="65"/>
        <item x="91"/>
        <item x="25"/>
        <item x="5"/>
        <item x="81"/>
        <item x="119"/>
        <item x="137"/>
        <item x="77"/>
        <item x="56"/>
        <item x="64"/>
        <item x="85"/>
        <item x="52"/>
        <item x="82"/>
        <item x="109"/>
        <item x="71"/>
        <item x="37"/>
        <item x="61"/>
        <item x="35"/>
        <item x="107"/>
        <item x="59"/>
        <item x="116"/>
        <item x="9"/>
        <item x="103"/>
        <item x="12"/>
        <item x="6"/>
        <item x="23"/>
        <item x="139"/>
        <item x="78"/>
        <item x="39"/>
        <item x="67"/>
        <item x="136"/>
        <item x="79"/>
        <item x="40"/>
        <item x="73"/>
        <item x="75"/>
        <item x="127"/>
        <item x="62"/>
        <item x="45"/>
        <item x="138"/>
        <item x="54"/>
        <item x="43"/>
        <item x="98"/>
        <item x="83"/>
        <item x="108"/>
        <item x="46"/>
        <item x="130"/>
        <item x="21"/>
        <item x="55"/>
        <item x="72"/>
        <item x="84"/>
        <item x="34"/>
        <item x="92"/>
        <item x="141"/>
        <item x="106"/>
        <item x="118"/>
        <item x="42"/>
        <item x="38"/>
        <item x="132"/>
        <item x="96"/>
        <item x="90"/>
        <item x="131"/>
        <item x="134"/>
        <item x="58"/>
        <item x="113"/>
        <item x="19"/>
        <item x="80"/>
        <item x="86"/>
        <item x="47"/>
        <item x="20"/>
        <item x="2"/>
        <item x="89"/>
        <item x="111"/>
        <item x="133"/>
        <item x="143"/>
        <item x="125"/>
        <item x="0"/>
        <item x="18"/>
        <item x="53"/>
        <item x="4"/>
        <item x="100"/>
        <item x="41"/>
        <item x="142"/>
        <item x="51"/>
        <item x="10"/>
        <item x="57"/>
        <item x="76"/>
        <item x="102"/>
        <item x="97"/>
        <item x="13"/>
        <item x="105"/>
        <item x="121"/>
        <item x="15"/>
        <item x="33"/>
        <item x="94"/>
        <item x="68"/>
        <item x="124"/>
        <item x="114"/>
        <item x="93"/>
        <item t="default"/>
      </items>
    </pivotField>
    <pivotField showAll="0"/>
    <pivotField showAll="0"/>
    <pivotField showAll="0"/>
    <pivotField showAll="0"/>
    <pivotField showAll="0"/>
    <pivotField dataField="1" numFmtId="164" showAll="0"/>
    <pivotField axis="axisRow" showAll="0">
      <items count="15">
        <item x="0"/>
        <item x="1"/>
        <item x="2"/>
        <item x="3"/>
        <item x="4"/>
        <item x="5"/>
        <item x="6"/>
        <item x="7"/>
        <item x="8"/>
        <item x="9"/>
        <item x="10"/>
        <item x="11"/>
        <item x="12"/>
        <item x="1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Revenue ($)" fld="6" baseField="0" baseItem="0" numFmtId="164"/>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3"/>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4"/>
          </reference>
        </references>
      </pivotArea>
    </chartFormat>
    <chartFormat chart="0" format="5">
      <pivotArea type="data" outline="0" fieldPosition="0">
        <references count="2">
          <reference field="4294967294" count="1" selected="0">
            <x v="0"/>
          </reference>
          <reference field="7" count="1" selected="0">
            <x v="6"/>
          </reference>
        </references>
      </pivotArea>
    </chartFormat>
    <chartFormat chart="0" format="6">
      <pivotArea type="data" outline="0" fieldPosition="0">
        <references count="2">
          <reference field="4294967294" count="1" selected="0">
            <x v="0"/>
          </reference>
          <reference field="7" count="1" selected="0">
            <x v="8"/>
          </reference>
        </references>
      </pivotArea>
    </chartFormat>
    <chartFormat chart="0" format="7">
      <pivotArea type="data" outline="0" fieldPosition="0">
        <references count="2">
          <reference field="4294967294" count="1" selected="0">
            <x v="0"/>
          </reference>
          <reference field="7" count="1" selected="0">
            <x v="7"/>
          </reference>
        </references>
      </pivotArea>
    </chartFormat>
    <chartFormat chart="0" format="8">
      <pivotArea type="data" outline="0" fieldPosition="0">
        <references count="2">
          <reference field="4294967294" count="1" selected="0">
            <x v="0"/>
          </reference>
          <reference field="7" count="1" selected="0">
            <x v="10"/>
          </reference>
        </references>
      </pivotArea>
    </chartFormat>
    <chartFormat chart="0" format="9">
      <pivotArea type="data" outline="0" fieldPosition="0">
        <references count="2">
          <reference field="4294967294" count="1" selected="0">
            <x v="0"/>
          </reference>
          <reference field="7" count="1" selected="0">
            <x v="12"/>
          </reference>
        </references>
      </pivotArea>
    </chartFormat>
    <chartFormat chart="0" format="10">
      <pivotArea type="data" outline="0" fieldPosition="0">
        <references count="2">
          <reference field="4294967294" count="1" selected="0">
            <x v="0"/>
          </reference>
          <reference field="7"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E06F0983-3F5E-4041-978F-373BE66BF8C6}" autoFormatId="16" applyNumberFormats="0" applyBorderFormats="0" applyFontFormats="0" applyPatternFormats="0" applyAlignmentFormats="0" applyWidthHeightFormats="0">
  <queryTableRefresh nextId="9">
    <queryTableFields count="7">
      <queryTableField id="1" name="Date" tableColumnId="1"/>
      <queryTableField id="2" name="Region" tableColumnId="2"/>
      <queryTableField id="3" name="Salesperson" tableColumnId="3"/>
      <queryTableField id="4" name="Product" tableColumnId="4"/>
      <queryTableField id="5" name="Units Sold" tableColumnId="5"/>
      <queryTableField id="6" name="Unit Price ($)" tableColumnId="6"/>
      <queryTableField id="7" name="Revenue ($)"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DBF436F-E277-4D68-822F-071F575334A8}" sourceName="Region">
  <pivotTables>
    <pivotTable tabId="7" name="PivotTable19"/>
  </pivotTables>
  <data>
    <tabular pivotCacheId="1249794949">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4C7F378-5990-4228-84D2-36EC633B0B9E}" sourceName="Product">
  <pivotTables>
    <pivotTable tabId="7" name="PivotTable21"/>
  </pivotTables>
  <data>
    <tabular pivotCacheId="1249794949">
      <items count="7">
        <i x="3" s="1"/>
        <i x="6" s="1"/>
        <i x="0" s="1"/>
        <i x="2" s="1"/>
        <i x="1"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D54B306-6D3A-4D5B-9FDB-0176D63BBB4D}" cache="Slicer_Region" caption="Region" rowHeight="241300"/>
  <slicer name="Product" xr10:uid="{EEE48DBD-B073-4E46-9D71-446640FEC0A4}" cache="Slicer_Product" caption="Produc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82EC88-5682-49AE-8679-3CF9B551EF9D}" name="excel_practice_sales_dataset__2" displayName="excel_practice_sales_dataset__2" ref="A1:G201" tableType="queryTable" totalsRowShown="0">
  <autoFilter ref="A1:G201" xr:uid="{8382EC88-5682-49AE-8679-3CF9B551EF9D}"/>
  <tableColumns count="7">
    <tableColumn id="1" xr3:uid="{B6D27C4F-368E-4A40-936F-B3FA1F05BA5E}" uniqueName="1" name="Date" queryTableFieldId="1" dataDxfId="7"/>
    <tableColumn id="2" xr3:uid="{78327160-B696-438C-BDFD-E4B905C62201}" uniqueName="2" name="Region" queryTableFieldId="2" dataDxfId="6"/>
    <tableColumn id="3" xr3:uid="{4083FEAA-07B9-43D8-918A-4CE71878B7DB}" uniqueName="3" name="Salesperson" queryTableFieldId="3" dataDxfId="5"/>
    <tableColumn id="4" xr3:uid="{D7115A0C-537C-46DF-BC12-230F14B82966}" uniqueName="4" name="Product" queryTableFieldId="4" dataDxfId="4"/>
    <tableColumn id="5" xr3:uid="{7BEE5EE2-092A-4DB4-8A2D-3B4F71D0F520}" uniqueName="5" name="Units Sold" queryTableFieldId="5"/>
    <tableColumn id="6" xr3:uid="{07F14DC0-55B9-408C-9D78-0C509B40EA2B}" uniqueName="6" name="Unit Price ($)" queryTableFieldId="6"/>
    <tableColumn id="7" xr3:uid="{8D0A4250-9815-43A6-A28A-4D89D01EC15D}" uniqueName="7" name="Revenue ($)" queryTableFieldId="7"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2B9FB9-72CC-40D5-9B86-0DE756CB5570}" name="Table3" displayName="Table3" ref="J1:J5" totalsRowShown="0" dataDxfId="2">
  <tableColumns count="1">
    <tableColumn id="1" xr3:uid="{4053832D-8235-49F7-A458-598B8A0F5FDE}" name="Project Objective" dataDxfId="1"/>
  </tableColumns>
  <tableStyleInfo name="TableStyleDark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DE7D0-918A-4876-80FA-953491D91FAF}">
  <dimension ref="A1:J201"/>
  <sheetViews>
    <sheetView topLeftCell="A2" workbookViewId="0">
      <selection activeCell="A6" sqref="A2:G201"/>
    </sheetView>
  </sheetViews>
  <sheetFormatPr defaultRowHeight="15" x14ac:dyDescent="0.25"/>
  <cols>
    <col min="1" max="1" width="15.5703125" bestFit="1" customWidth="1"/>
    <col min="2" max="2" width="9.42578125" bestFit="1" customWidth="1"/>
    <col min="3" max="3" width="14" bestFit="1" customWidth="1"/>
    <col min="4" max="4" width="12.140625" bestFit="1" customWidth="1"/>
    <col min="5" max="5" width="12.28515625" bestFit="1" customWidth="1"/>
    <col min="6" max="6" width="14.85546875" bestFit="1" customWidth="1"/>
    <col min="7" max="7" width="14" bestFit="1" customWidth="1"/>
    <col min="9" max="9" width="10.42578125" bestFit="1" customWidth="1"/>
    <col min="10" max="10" width="35.85546875" customWidth="1"/>
  </cols>
  <sheetData>
    <row r="1" spans="1:10" x14ac:dyDescent="0.25">
      <c r="A1" t="s">
        <v>0</v>
      </c>
      <c r="B1" t="s">
        <v>1</v>
      </c>
      <c r="C1" t="s">
        <v>2</v>
      </c>
      <c r="D1" t="s">
        <v>3</v>
      </c>
      <c r="E1" t="s">
        <v>4</v>
      </c>
      <c r="F1" t="s">
        <v>5</v>
      </c>
      <c r="G1" t="s">
        <v>6</v>
      </c>
      <c r="J1" t="s">
        <v>24</v>
      </c>
    </row>
    <row r="2" spans="1:10" x14ac:dyDescent="0.25">
      <c r="A2" s="2">
        <v>45619</v>
      </c>
      <c r="B2" t="s">
        <v>7</v>
      </c>
      <c r="C2" t="s">
        <v>22</v>
      </c>
      <c r="D2" t="s">
        <v>8</v>
      </c>
      <c r="E2">
        <v>5</v>
      </c>
      <c r="F2">
        <v>80</v>
      </c>
      <c r="G2" s="6">
        <v>400</v>
      </c>
      <c r="I2" s="1"/>
      <c r="J2" s="3" t="s">
        <v>26</v>
      </c>
    </row>
    <row r="3" spans="1:10" x14ac:dyDescent="0.25">
      <c r="A3" s="2">
        <v>45406</v>
      </c>
      <c r="B3" t="s">
        <v>7</v>
      </c>
      <c r="C3" t="s">
        <v>22</v>
      </c>
      <c r="D3" t="s">
        <v>9</v>
      </c>
      <c r="E3">
        <v>9</v>
      </c>
      <c r="F3">
        <v>50</v>
      </c>
      <c r="G3" s="6">
        <v>450</v>
      </c>
      <c r="J3" s="3" t="s">
        <v>25</v>
      </c>
    </row>
    <row r="4" spans="1:10" x14ac:dyDescent="0.25">
      <c r="A4" s="2">
        <v>45594</v>
      </c>
      <c r="B4" t="s">
        <v>7</v>
      </c>
      <c r="C4" t="s">
        <v>23</v>
      </c>
      <c r="D4" t="s">
        <v>10</v>
      </c>
      <c r="E4">
        <v>2</v>
      </c>
      <c r="F4">
        <v>80</v>
      </c>
      <c r="G4" s="6">
        <v>160</v>
      </c>
      <c r="J4" s="3" t="s">
        <v>27</v>
      </c>
    </row>
    <row r="5" spans="1:10" x14ac:dyDescent="0.25">
      <c r="A5" s="2">
        <v>45411</v>
      </c>
      <c r="B5" t="s">
        <v>7</v>
      </c>
      <c r="C5" t="s">
        <v>11</v>
      </c>
      <c r="D5" t="s">
        <v>12</v>
      </c>
      <c r="E5">
        <v>4</v>
      </c>
      <c r="F5">
        <v>500</v>
      </c>
      <c r="G5" s="6">
        <v>2000</v>
      </c>
      <c r="J5" s="3" t="s">
        <v>28</v>
      </c>
    </row>
    <row r="6" spans="1:10" x14ac:dyDescent="0.25">
      <c r="A6" s="2">
        <v>45624</v>
      </c>
      <c r="B6" t="s">
        <v>13</v>
      </c>
      <c r="C6" t="s">
        <v>14</v>
      </c>
      <c r="D6" t="s">
        <v>15</v>
      </c>
      <c r="E6">
        <v>8</v>
      </c>
      <c r="F6">
        <v>350</v>
      </c>
      <c r="G6" s="6">
        <v>2800</v>
      </c>
    </row>
    <row r="7" spans="1:10" x14ac:dyDescent="0.25">
      <c r="A7" s="2">
        <v>45434</v>
      </c>
      <c r="B7" t="s">
        <v>7</v>
      </c>
      <c r="C7" t="s">
        <v>14</v>
      </c>
      <c r="D7" t="s">
        <v>16</v>
      </c>
      <c r="E7">
        <v>7</v>
      </c>
      <c r="F7">
        <v>120</v>
      </c>
      <c r="G7" s="6">
        <v>840</v>
      </c>
    </row>
    <row r="8" spans="1:10" x14ac:dyDescent="0.25">
      <c r="A8" s="2">
        <v>45434</v>
      </c>
      <c r="B8" t="s">
        <v>17</v>
      </c>
      <c r="C8" t="s">
        <v>18</v>
      </c>
      <c r="D8" t="s">
        <v>9</v>
      </c>
      <c r="E8">
        <v>2</v>
      </c>
      <c r="F8">
        <v>50</v>
      </c>
      <c r="G8" s="6">
        <v>100</v>
      </c>
    </row>
    <row r="9" spans="1:10" x14ac:dyDescent="0.25">
      <c r="A9" s="2">
        <v>45486</v>
      </c>
      <c r="B9" t="s">
        <v>19</v>
      </c>
      <c r="C9" t="s">
        <v>18</v>
      </c>
      <c r="D9" t="s">
        <v>8</v>
      </c>
      <c r="E9">
        <v>10</v>
      </c>
      <c r="F9">
        <v>120</v>
      </c>
      <c r="G9" s="6">
        <v>1200</v>
      </c>
    </row>
    <row r="10" spans="1:10" x14ac:dyDescent="0.25">
      <c r="A10" s="2">
        <v>45314</v>
      </c>
      <c r="B10" t="s">
        <v>13</v>
      </c>
      <c r="C10" t="s">
        <v>11</v>
      </c>
      <c r="D10" t="s">
        <v>15</v>
      </c>
      <c r="E10">
        <v>2</v>
      </c>
      <c r="F10">
        <v>200</v>
      </c>
      <c r="G10" s="6">
        <v>400</v>
      </c>
    </row>
    <row r="11" spans="1:10" x14ac:dyDescent="0.25">
      <c r="A11" s="2">
        <v>45332</v>
      </c>
      <c r="B11" t="s">
        <v>19</v>
      </c>
      <c r="C11" t="s">
        <v>22</v>
      </c>
      <c r="D11" t="s">
        <v>12</v>
      </c>
      <c r="E11">
        <v>10</v>
      </c>
      <c r="F11">
        <v>800</v>
      </c>
      <c r="G11" s="6">
        <v>8000</v>
      </c>
    </row>
    <row r="12" spans="1:10" x14ac:dyDescent="0.25">
      <c r="A12" s="2">
        <v>45477</v>
      </c>
      <c r="B12" t="s">
        <v>17</v>
      </c>
      <c r="C12" t="s">
        <v>22</v>
      </c>
      <c r="D12" t="s">
        <v>12</v>
      </c>
      <c r="E12">
        <v>2</v>
      </c>
      <c r="F12">
        <v>50</v>
      </c>
      <c r="G12" s="6">
        <v>100</v>
      </c>
    </row>
    <row r="13" spans="1:10" x14ac:dyDescent="0.25">
      <c r="A13" s="2">
        <v>45630</v>
      </c>
      <c r="B13" t="s">
        <v>19</v>
      </c>
      <c r="C13" t="s">
        <v>23</v>
      </c>
      <c r="D13" t="s">
        <v>9</v>
      </c>
      <c r="E13">
        <v>4</v>
      </c>
      <c r="F13">
        <v>800</v>
      </c>
      <c r="G13" s="6">
        <v>3200</v>
      </c>
    </row>
    <row r="14" spans="1:10" x14ac:dyDescent="0.25">
      <c r="A14" s="2">
        <v>45343</v>
      </c>
      <c r="B14" t="s">
        <v>19</v>
      </c>
      <c r="C14" t="s">
        <v>20</v>
      </c>
      <c r="D14" t="s">
        <v>10</v>
      </c>
      <c r="E14">
        <v>6</v>
      </c>
      <c r="F14">
        <v>80</v>
      </c>
      <c r="G14" s="6">
        <v>480</v>
      </c>
    </row>
    <row r="15" spans="1:10" x14ac:dyDescent="0.25">
      <c r="A15" s="2">
        <v>45481</v>
      </c>
      <c r="B15" t="s">
        <v>17</v>
      </c>
      <c r="C15" t="s">
        <v>22</v>
      </c>
      <c r="D15" t="s">
        <v>21</v>
      </c>
      <c r="E15">
        <v>5</v>
      </c>
      <c r="F15">
        <v>500</v>
      </c>
      <c r="G15" s="6">
        <v>2500</v>
      </c>
    </row>
    <row r="16" spans="1:10" x14ac:dyDescent="0.25">
      <c r="A16" s="2">
        <v>45641</v>
      </c>
      <c r="B16" t="s">
        <v>7</v>
      </c>
      <c r="C16" t="s">
        <v>11</v>
      </c>
      <c r="D16" t="s">
        <v>15</v>
      </c>
      <c r="E16">
        <v>3</v>
      </c>
      <c r="F16">
        <v>350</v>
      </c>
      <c r="G16" s="6">
        <v>1050</v>
      </c>
    </row>
    <row r="17" spans="1:7" x14ac:dyDescent="0.25">
      <c r="A17" s="2">
        <v>45417</v>
      </c>
      <c r="B17" t="s">
        <v>13</v>
      </c>
      <c r="C17" t="s">
        <v>20</v>
      </c>
      <c r="D17" t="s">
        <v>9</v>
      </c>
      <c r="E17">
        <v>5</v>
      </c>
      <c r="F17">
        <v>500</v>
      </c>
      <c r="G17" s="6">
        <v>2500</v>
      </c>
    </row>
    <row r="18" spans="1:7" x14ac:dyDescent="0.25">
      <c r="A18" s="2">
        <v>45644</v>
      </c>
      <c r="B18" t="s">
        <v>17</v>
      </c>
      <c r="C18" t="s">
        <v>22</v>
      </c>
      <c r="D18" t="s">
        <v>12</v>
      </c>
      <c r="E18">
        <v>6</v>
      </c>
      <c r="F18">
        <v>800</v>
      </c>
      <c r="G18" s="6">
        <v>4800</v>
      </c>
    </row>
    <row r="19" spans="1:7" x14ac:dyDescent="0.25">
      <c r="A19" s="2">
        <v>45320</v>
      </c>
      <c r="B19" t="s">
        <v>7</v>
      </c>
      <c r="C19" t="s">
        <v>18</v>
      </c>
      <c r="D19" t="s">
        <v>9</v>
      </c>
      <c r="E19">
        <v>7</v>
      </c>
      <c r="F19">
        <v>120</v>
      </c>
      <c r="G19" s="6">
        <v>840</v>
      </c>
    </row>
    <row r="20" spans="1:7" x14ac:dyDescent="0.25">
      <c r="A20" s="2">
        <v>45325</v>
      </c>
      <c r="B20" t="s">
        <v>19</v>
      </c>
      <c r="C20" t="s">
        <v>14</v>
      </c>
      <c r="D20" t="s">
        <v>9</v>
      </c>
      <c r="E20">
        <v>8</v>
      </c>
      <c r="F20">
        <v>200</v>
      </c>
      <c r="G20" s="6">
        <v>1600</v>
      </c>
    </row>
    <row r="21" spans="1:7" x14ac:dyDescent="0.25">
      <c r="A21" s="2">
        <v>45621</v>
      </c>
      <c r="B21" t="s">
        <v>17</v>
      </c>
      <c r="C21" t="s">
        <v>18</v>
      </c>
      <c r="D21" t="s">
        <v>10</v>
      </c>
      <c r="E21">
        <v>3</v>
      </c>
      <c r="F21">
        <v>80</v>
      </c>
      <c r="G21" s="6">
        <v>240</v>
      </c>
    </row>
    <row r="22" spans="1:7" x14ac:dyDescent="0.25">
      <c r="A22" s="2">
        <v>45579</v>
      </c>
      <c r="B22" t="s">
        <v>19</v>
      </c>
      <c r="C22" t="s">
        <v>22</v>
      </c>
      <c r="D22" t="s">
        <v>12</v>
      </c>
      <c r="E22">
        <v>10</v>
      </c>
      <c r="F22">
        <v>200</v>
      </c>
      <c r="G22" s="6">
        <v>2000</v>
      </c>
    </row>
    <row r="23" spans="1:7" x14ac:dyDescent="0.25">
      <c r="A23" s="2">
        <v>45590</v>
      </c>
      <c r="B23" t="s">
        <v>19</v>
      </c>
      <c r="C23" t="s">
        <v>14</v>
      </c>
      <c r="D23" t="s">
        <v>10</v>
      </c>
      <c r="E23">
        <v>3</v>
      </c>
      <c r="F23">
        <v>350</v>
      </c>
      <c r="G23" s="6">
        <v>1050</v>
      </c>
    </row>
    <row r="24" spans="1:7" x14ac:dyDescent="0.25">
      <c r="A24" s="2">
        <v>45544</v>
      </c>
      <c r="B24" t="s">
        <v>7</v>
      </c>
      <c r="C24" t="s">
        <v>23</v>
      </c>
      <c r="D24" t="s">
        <v>8</v>
      </c>
      <c r="E24">
        <v>3</v>
      </c>
      <c r="F24">
        <v>500</v>
      </c>
      <c r="G24" s="6">
        <v>1500</v>
      </c>
    </row>
    <row r="25" spans="1:7" x14ac:dyDescent="0.25">
      <c r="A25" s="2">
        <v>45373</v>
      </c>
      <c r="B25" t="s">
        <v>13</v>
      </c>
      <c r="C25" t="s">
        <v>11</v>
      </c>
      <c r="D25" t="s">
        <v>16</v>
      </c>
      <c r="E25">
        <v>2</v>
      </c>
      <c r="F25">
        <v>200</v>
      </c>
      <c r="G25" s="6">
        <v>400</v>
      </c>
    </row>
    <row r="26" spans="1:7" x14ac:dyDescent="0.25">
      <c r="A26" s="2">
        <v>45487</v>
      </c>
      <c r="B26" t="s">
        <v>13</v>
      </c>
      <c r="C26" t="s">
        <v>11</v>
      </c>
      <c r="D26" t="s">
        <v>12</v>
      </c>
      <c r="E26">
        <v>5</v>
      </c>
      <c r="F26">
        <v>350</v>
      </c>
      <c r="G26" s="6">
        <v>1750</v>
      </c>
    </row>
    <row r="27" spans="1:7" x14ac:dyDescent="0.25">
      <c r="A27" s="2">
        <v>45297</v>
      </c>
      <c r="B27" t="s">
        <v>7</v>
      </c>
      <c r="C27" t="s">
        <v>22</v>
      </c>
      <c r="D27" t="s">
        <v>15</v>
      </c>
      <c r="E27">
        <v>9</v>
      </c>
      <c r="F27">
        <v>800</v>
      </c>
      <c r="G27" s="6">
        <v>7200</v>
      </c>
    </row>
    <row r="28" spans="1:7" x14ac:dyDescent="0.25">
      <c r="A28" s="2">
        <v>45428</v>
      </c>
      <c r="B28" t="s">
        <v>19</v>
      </c>
      <c r="C28" t="s">
        <v>23</v>
      </c>
      <c r="D28" t="s">
        <v>16</v>
      </c>
      <c r="E28">
        <v>5</v>
      </c>
      <c r="F28">
        <v>200</v>
      </c>
      <c r="G28" s="6">
        <v>1000</v>
      </c>
    </row>
    <row r="29" spans="1:7" x14ac:dyDescent="0.25">
      <c r="A29" s="2">
        <v>45372</v>
      </c>
      <c r="B29" t="s">
        <v>7</v>
      </c>
      <c r="C29" t="s">
        <v>22</v>
      </c>
      <c r="D29" t="s">
        <v>10</v>
      </c>
      <c r="E29">
        <v>5</v>
      </c>
      <c r="F29">
        <v>350</v>
      </c>
      <c r="G29" s="6">
        <v>1750</v>
      </c>
    </row>
    <row r="30" spans="1:7" x14ac:dyDescent="0.25">
      <c r="A30" s="2">
        <v>45383</v>
      </c>
      <c r="B30" t="s">
        <v>7</v>
      </c>
      <c r="C30" t="s">
        <v>22</v>
      </c>
      <c r="D30" t="s">
        <v>12</v>
      </c>
      <c r="E30">
        <v>5</v>
      </c>
      <c r="F30">
        <v>800</v>
      </c>
      <c r="G30" s="6">
        <v>4000</v>
      </c>
    </row>
    <row r="31" spans="1:7" x14ac:dyDescent="0.25">
      <c r="A31" s="2">
        <v>45619</v>
      </c>
      <c r="B31" t="s">
        <v>17</v>
      </c>
      <c r="C31" t="s">
        <v>14</v>
      </c>
      <c r="D31" t="s">
        <v>12</v>
      </c>
      <c r="E31">
        <v>6</v>
      </c>
      <c r="F31">
        <v>800</v>
      </c>
      <c r="G31" s="6">
        <v>4800</v>
      </c>
    </row>
    <row r="32" spans="1:7" x14ac:dyDescent="0.25">
      <c r="A32" s="2">
        <v>45374</v>
      </c>
      <c r="B32" t="s">
        <v>7</v>
      </c>
      <c r="C32" t="s">
        <v>11</v>
      </c>
      <c r="D32" t="s">
        <v>12</v>
      </c>
      <c r="E32">
        <v>6</v>
      </c>
      <c r="F32">
        <v>200</v>
      </c>
      <c r="G32" s="6">
        <v>1200</v>
      </c>
    </row>
    <row r="33" spans="1:7" x14ac:dyDescent="0.25">
      <c r="A33" s="2">
        <v>45301</v>
      </c>
      <c r="B33" t="s">
        <v>19</v>
      </c>
      <c r="C33" t="s">
        <v>18</v>
      </c>
      <c r="D33" t="s">
        <v>8</v>
      </c>
      <c r="E33">
        <v>4</v>
      </c>
      <c r="F33">
        <v>50</v>
      </c>
      <c r="G33" s="6">
        <v>200</v>
      </c>
    </row>
    <row r="34" spans="1:7" x14ac:dyDescent="0.25">
      <c r="A34" s="2">
        <v>45415</v>
      </c>
      <c r="B34" t="s">
        <v>7</v>
      </c>
      <c r="C34" t="s">
        <v>23</v>
      </c>
      <c r="D34" t="s">
        <v>12</v>
      </c>
      <c r="E34">
        <v>8</v>
      </c>
      <c r="F34">
        <v>800</v>
      </c>
      <c r="G34" s="6">
        <v>6400</v>
      </c>
    </row>
    <row r="35" spans="1:7" x14ac:dyDescent="0.25">
      <c r="A35" s="2">
        <v>45327</v>
      </c>
      <c r="B35" t="s">
        <v>17</v>
      </c>
      <c r="C35" t="s">
        <v>14</v>
      </c>
      <c r="D35" t="s">
        <v>16</v>
      </c>
      <c r="E35">
        <v>8</v>
      </c>
      <c r="F35">
        <v>350</v>
      </c>
      <c r="G35" s="6">
        <v>2800</v>
      </c>
    </row>
    <row r="36" spans="1:7" x14ac:dyDescent="0.25">
      <c r="A36" s="2">
        <v>45376</v>
      </c>
      <c r="B36" t="s">
        <v>13</v>
      </c>
      <c r="C36" t="s">
        <v>14</v>
      </c>
      <c r="D36" t="s">
        <v>21</v>
      </c>
      <c r="E36">
        <v>9</v>
      </c>
      <c r="F36">
        <v>800</v>
      </c>
      <c r="G36" s="6">
        <v>7200</v>
      </c>
    </row>
    <row r="37" spans="1:7" x14ac:dyDescent="0.25">
      <c r="A37" s="2">
        <v>45645</v>
      </c>
      <c r="B37" t="s">
        <v>19</v>
      </c>
      <c r="C37" t="s">
        <v>20</v>
      </c>
      <c r="D37" t="s">
        <v>9</v>
      </c>
      <c r="E37">
        <v>6</v>
      </c>
      <c r="F37">
        <v>200</v>
      </c>
      <c r="G37" s="6">
        <v>1200</v>
      </c>
    </row>
    <row r="38" spans="1:7" x14ac:dyDescent="0.25">
      <c r="A38" s="2">
        <v>45556</v>
      </c>
      <c r="B38" t="s">
        <v>7</v>
      </c>
      <c r="C38" t="s">
        <v>14</v>
      </c>
      <c r="D38" t="s">
        <v>10</v>
      </c>
      <c r="E38">
        <v>4</v>
      </c>
      <c r="F38">
        <v>50</v>
      </c>
      <c r="G38" s="6">
        <v>200</v>
      </c>
    </row>
    <row r="39" spans="1:7" x14ac:dyDescent="0.25">
      <c r="A39" s="2">
        <v>45465</v>
      </c>
      <c r="B39" t="s">
        <v>17</v>
      </c>
      <c r="C39" t="s">
        <v>11</v>
      </c>
      <c r="D39" t="s">
        <v>8</v>
      </c>
      <c r="E39">
        <v>4</v>
      </c>
      <c r="F39">
        <v>50</v>
      </c>
      <c r="G39" s="6">
        <v>200</v>
      </c>
    </row>
    <row r="40" spans="1:7" x14ac:dyDescent="0.25">
      <c r="A40" s="2">
        <v>45328</v>
      </c>
      <c r="B40" t="s">
        <v>7</v>
      </c>
      <c r="C40" t="s">
        <v>14</v>
      </c>
      <c r="D40" t="s">
        <v>15</v>
      </c>
      <c r="E40">
        <v>2</v>
      </c>
      <c r="F40">
        <v>50</v>
      </c>
      <c r="G40" s="6">
        <v>100</v>
      </c>
    </row>
    <row r="41" spans="1:7" x14ac:dyDescent="0.25">
      <c r="A41" s="2">
        <v>45461</v>
      </c>
      <c r="B41" t="s">
        <v>17</v>
      </c>
      <c r="C41" t="s">
        <v>18</v>
      </c>
      <c r="D41" t="s">
        <v>8</v>
      </c>
      <c r="E41">
        <v>8</v>
      </c>
      <c r="F41">
        <v>80</v>
      </c>
      <c r="G41" s="6">
        <v>640</v>
      </c>
    </row>
    <row r="42" spans="1:7" x14ac:dyDescent="0.25">
      <c r="A42" s="2">
        <v>45568</v>
      </c>
      <c r="B42" t="s">
        <v>13</v>
      </c>
      <c r="C42" t="s">
        <v>14</v>
      </c>
      <c r="D42" t="s">
        <v>9</v>
      </c>
      <c r="E42">
        <v>8</v>
      </c>
      <c r="F42">
        <v>800</v>
      </c>
      <c r="G42" s="6">
        <v>6400</v>
      </c>
    </row>
    <row r="43" spans="1:7" x14ac:dyDescent="0.25">
      <c r="A43" s="2">
        <v>45500</v>
      </c>
      <c r="B43" t="s">
        <v>7</v>
      </c>
      <c r="C43" t="s">
        <v>23</v>
      </c>
      <c r="D43" t="s">
        <v>9</v>
      </c>
      <c r="E43">
        <v>7</v>
      </c>
      <c r="F43">
        <v>120</v>
      </c>
      <c r="G43" s="6">
        <v>840</v>
      </c>
    </row>
    <row r="44" spans="1:7" x14ac:dyDescent="0.25">
      <c r="A44" s="2">
        <v>45508</v>
      </c>
      <c r="B44" t="s">
        <v>13</v>
      </c>
      <c r="C44" t="s">
        <v>22</v>
      </c>
      <c r="D44" t="s">
        <v>10</v>
      </c>
      <c r="E44">
        <v>1</v>
      </c>
      <c r="F44">
        <v>500</v>
      </c>
      <c r="G44" s="6">
        <v>500</v>
      </c>
    </row>
    <row r="45" spans="1:7" x14ac:dyDescent="0.25">
      <c r="A45" s="2">
        <v>45626</v>
      </c>
      <c r="B45" t="s">
        <v>7</v>
      </c>
      <c r="C45" t="s">
        <v>23</v>
      </c>
      <c r="D45" t="s">
        <v>15</v>
      </c>
      <c r="E45">
        <v>7</v>
      </c>
      <c r="F45">
        <v>500</v>
      </c>
      <c r="G45" s="6">
        <v>3500</v>
      </c>
    </row>
    <row r="46" spans="1:7" x14ac:dyDescent="0.25">
      <c r="A46" s="2">
        <v>45465</v>
      </c>
      <c r="B46" t="s">
        <v>7</v>
      </c>
      <c r="C46" t="s">
        <v>14</v>
      </c>
      <c r="D46" t="s">
        <v>16</v>
      </c>
      <c r="E46">
        <v>4</v>
      </c>
      <c r="F46">
        <v>80</v>
      </c>
      <c r="G46" s="6">
        <v>320</v>
      </c>
    </row>
    <row r="47" spans="1:7" x14ac:dyDescent="0.25">
      <c r="A47" s="2">
        <v>45566</v>
      </c>
      <c r="B47" t="s">
        <v>17</v>
      </c>
      <c r="C47" t="s">
        <v>20</v>
      </c>
      <c r="D47" t="s">
        <v>10</v>
      </c>
      <c r="E47">
        <v>3</v>
      </c>
      <c r="F47">
        <v>120</v>
      </c>
      <c r="G47" s="6">
        <v>360</v>
      </c>
    </row>
    <row r="48" spans="1:7" x14ac:dyDescent="0.25">
      <c r="A48" s="2">
        <v>45528</v>
      </c>
      <c r="B48" t="s">
        <v>7</v>
      </c>
      <c r="C48" t="s">
        <v>20</v>
      </c>
      <c r="D48" t="s">
        <v>9</v>
      </c>
      <c r="E48">
        <v>9</v>
      </c>
      <c r="F48">
        <v>50</v>
      </c>
      <c r="G48" s="6">
        <v>450</v>
      </c>
    </row>
    <row r="49" spans="1:7" x14ac:dyDescent="0.25">
      <c r="A49" s="2">
        <v>45317</v>
      </c>
      <c r="B49" t="s">
        <v>7</v>
      </c>
      <c r="C49" t="s">
        <v>23</v>
      </c>
      <c r="D49" t="s">
        <v>15</v>
      </c>
      <c r="E49">
        <v>4</v>
      </c>
      <c r="F49">
        <v>80</v>
      </c>
      <c r="G49" s="6">
        <v>320</v>
      </c>
    </row>
    <row r="50" spans="1:7" x14ac:dyDescent="0.25">
      <c r="A50" s="2">
        <v>45500</v>
      </c>
      <c r="B50" t="s">
        <v>13</v>
      </c>
      <c r="C50" t="s">
        <v>14</v>
      </c>
      <c r="D50" t="s">
        <v>10</v>
      </c>
      <c r="E50">
        <v>7</v>
      </c>
      <c r="F50">
        <v>50</v>
      </c>
      <c r="G50" s="6">
        <v>350</v>
      </c>
    </row>
    <row r="51" spans="1:7" x14ac:dyDescent="0.25">
      <c r="A51" s="2">
        <v>45376</v>
      </c>
      <c r="B51" t="s">
        <v>7</v>
      </c>
      <c r="C51" t="s">
        <v>20</v>
      </c>
      <c r="D51" t="s">
        <v>10</v>
      </c>
      <c r="E51">
        <v>5</v>
      </c>
      <c r="F51">
        <v>800</v>
      </c>
      <c r="G51" s="6">
        <v>4000</v>
      </c>
    </row>
    <row r="52" spans="1:7" x14ac:dyDescent="0.25">
      <c r="A52" s="2">
        <v>45524</v>
      </c>
      <c r="B52" t="s">
        <v>13</v>
      </c>
      <c r="C52" t="s">
        <v>22</v>
      </c>
      <c r="D52" t="s">
        <v>21</v>
      </c>
      <c r="E52">
        <v>9</v>
      </c>
      <c r="F52">
        <v>500</v>
      </c>
      <c r="G52" s="6">
        <v>4500</v>
      </c>
    </row>
    <row r="53" spans="1:7" x14ac:dyDescent="0.25">
      <c r="A53" s="2">
        <v>45541</v>
      </c>
      <c r="B53" t="s">
        <v>17</v>
      </c>
      <c r="C53" t="s">
        <v>18</v>
      </c>
      <c r="D53" t="s">
        <v>9</v>
      </c>
      <c r="E53">
        <v>4</v>
      </c>
      <c r="F53">
        <v>50</v>
      </c>
      <c r="G53" s="6">
        <v>200</v>
      </c>
    </row>
    <row r="54" spans="1:7" x14ac:dyDescent="0.25">
      <c r="A54" s="2">
        <v>45588</v>
      </c>
      <c r="B54" t="s">
        <v>7</v>
      </c>
      <c r="C54" t="s">
        <v>22</v>
      </c>
      <c r="D54" t="s">
        <v>15</v>
      </c>
      <c r="E54">
        <v>6</v>
      </c>
      <c r="F54">
        <v>50</v>
      </c>
      <c r="G54" s="6">
        <v>300</v>
      </c>
    </row>
    <row r="55" spans="1:7" x14ac:dyDescent="0.25">
      <c r="A55" s="2">
        <v>45317</v>
      </c>
      <c r="B55" t="s">
        <v>13</v>
      </c>
      <c r="C55" t="s">
        <v>11</v>
      </c>
      <c r="D55" t="s">
        <v>12</v>
      </c>
      <c r="E55">
        <v>9</v>
      </c>
      <c r="F55">
        <v>80</v>
      </c>
      <c r="G55" s="6">
        <v>720</v>
      </c>
    </row>
    <row r="56" spans="1:7" x14ac:dyDescent="0.25">
      <c r="A56" s="2">
        <v>45321</v>
      </c>
      <c r="B56" t="s">
        <v>7</v>
      </c>
      <c r="C56" t="s">
        <v>14</v>
      </c>
      <c r="D56" t="s">
        <v>12</v>
      </c>
      <c r="E56">
        <v>2</v>
      </c>
      <c r="F56">
        <v>350</v>
      </c>
      <c r="G56" s="6">
        <v>700</v>
      </c>
    </row>
    <row r="57" spans="1:7" x14ac:dyDescent="0.25">
      <c r="A57" s="2">
        <v>45326</v>
      </c>
      <c r="B57" t="s">
        <v>17</v>
      </c>
      <c r="C57" t="s">
        <v>20</v>
      </c>
      <c r="D57" t="s">
        <v>15</v>
      </c>
      <c r="E57">
        <v>2</v>
      </c>
      <c r="F57">
        <v>350</v>
      </c>
      <c r="G57" s="6">
        <v>700</v>
      </c>
    </row>
    <row r="58" spans="1:7" x14ac:dyDescent="0.25">
      <c r="A58" s="2">
        <v>45418</v>
      </c>
      <c r="B58" t="s">
        <v>7</v>
      </c>
      <c r="C58" t="s">
        <v>11</v>
      </c>
      <c r="D58" t="s">
        <v>12</v>
      </c>
      <c r="E58">
        <v>2</v>
      </c>
      <c r="F58">
        <v>200</v>
      </c>
      <c r="G58" s="6">
        <v>400</v>
      </c>
    </row>
    <row r="59" spans="1:7" x14ac:dyDescent="0.25">
      <c r="A59" s="2">
        <v>45628</v>
      </c>
      <c r="B59" t="s">
        <v>19</v>
      </c>
      <c r="C59" t="s">
        <v>18</v>
      </c>
      <c r="D59" t="s">
        <v>12</v>
      </c>
      <c r="E59">
        <v>4</v>
      </c>
      <c r="F59">
        <v>500</v>
      </c>
      <c r="G59" s="6">
        <v>2000</v>
      </c>
    </row>
    <row r="60" spans="1:7" x14ac:dyDescent="0.25">
      <c r="A60" s="2">
        <v>45452</v>
      </c>
      <c r="B60" t="s">
        <v>19</v>
      </c>
      <c r="C60" t="s">
        <v>20</v>
      </c>
      <c r="D60" t="s">
        <v>9</v>
      </c>
      <c r="E60">
        <v>3</v>
      </c>
      <c r="F60">
        <v>500</v>
      </c>
      <c r="G60" s="6">
        <v>1500</v>
      </c>
    </row>
    <row r="61" spans="1:7" x14ac:dyDescent="0.25">
      <c r="A61" s="2">
        <v>45622</v>
      </c>
      <c r="B61" t="s">
        <v>13</v>
      </c>
      <c r="C61" t="s">
        <v>18</v>
      </c>
      <c r="D61" t="s">
        <v>21</v>
      </c>
      <c r="E61">
        <v>2</v>
      </c>
      <c r="F61">
        <v>50</v>
      </c>
      <c r="G61" s="6">
        <v>100</v>
      </c>
    </row>
    <row r="62" spans="1:7" x14ac:dyDescent="0.25">
      <c r="A62" s="2">
        <v>45526</v>
      </c>
      <c r="B62" t="s">
        <v>7</v>
      </c>
      <c r="C62" t="s">
        <v>23</v>
      </c>
      <c r="D62" t="s">
        <v>12</v>
      </c>
      <c r="E62">
        <v>9</v>
      </c>
      <c r="F62">
        <v>80</v>
      </c>
      <c r="G62" s="6">
        <v>720</v>
      </c>
    </row>
    <row r="63" spans="1:7" x14ac:dyDescent="0.25">
      <c r="A63" s="2">
        <v>45551</v>
      </c>
      <c r="B63" t="s">
        <v>17</v>
      </c>
      <c r="C63" t="s">
        <v>18</v>
      </c>
      <c r="D63" t="s">
        <v>21</v>
      </c>
      <c r="E63">
        <v>2</v>
      </c>
      <c r="F63">
        <v>80</v>
      </c>
      <c r="G63" s="6">
        <v>160</v>
      </c>
    </row>
    <row r="64" spans="1:7" x14ac:dyDescent="0.25">
      <c r="A64" s="2">
        <v>45481</v>
      </c>
      <c r="B64" t="s">
        <v>17</v>
      </c>
      <c r="C64" t="s">
        <v>20</v>
      </c>
      <c r="D64" t="s">
        <v>21</v>
      </c>
      <c r="E64">
        <v>9</v>
      </c>
      <c r="F64">
        <v>500</v>
      </c>
      <c r="G64" s="6">
        <v>4500</v>
      </c>
    </row>
    <row r="65" spans="1:7" x14ac:dyDescent="0.25">
      <c r="A65" s="2">
        <v>45446</v>
      </c>
      <c r="B65" t="s">
        <v>7</v>
      </c>
      <c r="C65" t="s">
        <v>22</v>
      </c>
      <c r="D65" t="s">
        <v>12</v>
      </c>
      <c r="E65">
        <v>9</v>
      </c>
      <c r="F65">
        <v>120</v>
      </c>
      <c r="G65" s="6">
        <v>1080</v>
      </c>
    </row>
    <row r="66" spans="1:7" x14ac:dyDescent="0.25">
      <c r="A66" s="2">
        <v>45631</v>
      </c>
      <c r="B66" t="s">
        <v>17</v>
      </c>
      <c r="C66" t="s">
        <v>18</v>
      </c>
      <c r="D66" t="s">
        <v>8</v>
      </c>
      <c r="E66">
        <v>2</v>
      </c>
      <c r="F66">
        <v>50</v>
      </c>
      <c r="G66" s="6">
        <v>100</v>
      </c>
    </row>
    <row r="67" spans="1:7" x14ac:dyDescent="0.25">
      <c r="A67" s="2">
        <v>45575</v>
      </c>
      <c r="B67" t="s">
        <v>19</v>
      </c>
      <c r="C67" t="s">
        <v>18</v>
      </c>
      <c r="D67" t="s">
        <v>9</v>
      </c>
      <c r="E67">
        <v>10</v>
      </c>
      <c r="F67">
        <v>80</v>
      </c>
      <c r="G67" s="6">
        <v>800</v>
      </c>
    </row>
    <row r="68" spans="1:7" x14ac:dyDescent="0.25">
      <c r="A68" s="2">
        <v>45467</v>
      </c>
      <c r="B68" t="s">
        <v>19</v>
      </c>
      <c r="C68" t="s">
        <v>11</v>
      </c>
      <c r="D68" t="s">
        <v>9</v>
      </c>
      <c r="E68">
        <v>8</v>
      </c>
      <c r="F68">
        <v>120</v>
      </c>
      <c r="G68" s="6">
        <v>960</v>
      </c>
    </row>
    <row r="69" spans="1:7" x14ac:dyDescent="0.25">
      <c r="A69" s="2">
        <v>45318</v>
      </c>
      <c r="B69" t="s">
        <v>13</v>
      </c>
      <c r="C69" t="s">
        <v>18</v>
      </c>
      <c r="D69" t="s">
        <v>8</v>
      </c>
      <c r="E69">
        <v>1</v>
      </c>
      <c r="F69">
        <v>50</v>
      </c>
      <c r="G69" s="6">
        <v>50</v>
      </c>
    </row>
    <row r="70" spans="1:7" x14ac:dyDescent="0.25">
      <c r="A70" s="2">
        <v>45462</v>
      </c>
      <c r="B70" t="s">
        <v>17</v>
      </c>
      <c r="C70" t="s">
        <v>22</v>
      </c>
      <c r="D70" t="s">
        <v>16</v>
      </c>
      <c r="E70">
        <v>5</v>
      </c>
      <c r="F70">
        <v>80</v>
      </c>
      <c r="G70" s="6">
        <v>400</v>
      </c>
    </row>
    <row r="71" spans="1:7" x14ac:dyDescent="0.25">
      <c r="A71" s="2">
        <v>45518</v>
      </c>
      <c r="B71" t="s">
        <v>13</v>
      </c>
      <c r="C71" t="s">
        <v>11</v>
      </c>
      <c r="D71" t="s">
        <v>12</v>
      </c>
      <c r="E71">
        <v>1</v>
      </c>
      <c r="F71">
        <v>50</v>
      </c>
      <c r="G71" s="6">
        <v>50</v>
      </c>
    </row>
    <row r="72" spans="1:7" x14ac:dyDescent="0.25">
      <c r="A72" s="2">
        <v>45330</v>
      </c>
      <c r="B72" t="s">
        <v>17</v>
      </c>
      <c r="C72" t="s">
        <v>11</v>
      </c>
      <c r="D72" t="s">
        <v>15</v>
      </c>
      <c r="E72">
        <v>1</v>
      </c>
      <c r="F72">
        <v>800</v>
      </c>
      <c r="G72" s="6">
        <v>800</v>
      </c>
    </row>
    <row r="73" spans="1:7" x14ac:dyDescent="0.25">
      <c r="A73" s="2">
        <v>45481</v>
      </c>
      <c r="B73" t="s">
        <v>17</v>
      </c>
      <c r="C73" t="s">
        <v>20</v>
      </c>
      <c r="D73" t="s">
        <v>12</v>
      </c>
      <c r="E73">
        <v>3</v>
      </c>
      <c r="F73">
        <v>50</v>
      </c>
      <c r="G73" s="6">
        <v>150</v>
      </c>
    </row>
    <row r="74" spans="1:7" x14ac:dyDescent="0.25">
      <c r="A74" s="2">
        <v>45449</v>
      </c>
      <c r="B74" t="s">
        <v>7</v>
      </c>
      <c r="C74" t="s">
        <v>18</v>
      </c>
      <c r="D74" t="s">
        <v>21</v>
      </c>
      <c r="E74">
        <v>4</v>
      </c>
      <c r="F74">
        <v>500</v>
      </c>
      <c r="G74" s="6">
        <v>2000</v>
      </c>
    </row>
    <row r="75" spans="1:7" x14ac:dyDescent="0.25">
      <c r="A75" s="2">
        <v>45419</v>
      </c>
      <c r="B75" t="s">
        <v>7</v>
      </c>
      <c r="C75" t="s">
        <v>18</v>
      </c>
      <c r="D75" t="s">
        <v>15</v>
      </c>
      <c r="E75">
        <v>9</v>
      </c>
      <c r="F75">
        <v>800</v>
      </c>
      <c r="G75" s="6">
        <v>7200</v>
      </c>
    </row>
    <row r="76" spans="1:7" x14ac:dyDescent="0.25">
      <c r="A76" s="2">
        <v>45500</v>
      </c>
      <c r="B76" t="s">
        <v>17</v>
      </c>
      <c r="C76" t="s">
        <v>14</v>
      </c>
      <c r="D76" t="s">
        <v>12</v>
      </c>
      <c r="E76">
        <v>3</v>
      </c>
      <c r="F76">
        <v>800</v>
      </c>
      <c r="G76" s="6">
        <v>2400</v>
      </c>
    </row>
    <row r="77" spans="1:7" x14ac:dyDescent="0.25">
      <c r="A77" s="2">
        <v>45382</v>
      </c>
      <c r="B77" t="s">
        <v>7</v>
      </c>
      <c r="C77" t="s">
        <v>14</v>
      </c>
      <c r="D77" t="s">
        <v>10</v>
      </c>
      <c r="E77">
        <v>6</v>
      </c>
      <c r="F77">
        <v>800</v>
      </c>
      <c r="G77" s="6">
        <v>4800</v>
      </c>
    </row>
    <row r="78" spans="1:7" x14ac:dyDescent="0.25">
      <c r="A78" s="2">
        <v>45502</v>
      </c>
      <c r="B78" t="s">
        <v>17</v>
      </c>
      <c r="C78" t="s">
        <v>18</v>
      </c>
      <c r="D78" t="s">
        <v>16</v>
      </c>
      <c r="E78">
        <v>3</v>
      </c>
      <c r="F78">
        <v>800</v>
      </c>
      <c r="G78" s="6">
        <v>2400</v>
      </c>
    </row>
    <row r="79" spans="1:7" x14ac:dyDescent="0.25">
      <c r="A79" s="2">
        <v>45651</v>
      </c>
      <c r="B79" t="s">
        <v>13</v>
      </c>
      <c r="C79" t="s">
        <v>23</v>
      </c>
      <c r="D79" t="s">
        <v>8</v>
      </c>
      <c r="E79">
        <v>8</v>
      </c>
      <c r="F79">
        <v>80</v>
      </c>
      <c r="G79" s="6">
        <v>640</v>
      </c>
    </row>
    <row r="80" spans="1:7" x14ac:dyDescent="0.25">
      <c r="A80" s="2">
        <v>45394</v>
      </c>
      <c r="B80" t="s">
        <v>13</v>
      </c>
      <c r="C80" t="s">
        <v>18</v>
      </c>
      <c r="D80" t="s">
        <v>16</v>
      </c>
      <c r="E80">
        <v>5</v>
      </c>
      <c r="F80">
        <v>800</v>
      </c>
      <c r="G80" s="6">
        <v>4000</v>
      </c>
    </row>
    <row r="81" spans="1:7" x14ac:dyDescent="0.25">
      <c r="A81" s="2">
        <v>45408</v>
      </c>
      <c r="B81" t="s">
        <v>7</v>
      </c>
      <c r="C81" t="s">
        <v>22</v>
      </c>
      <c r="D81" t="s">
        <v>9</v>
      </c>
      <c r="E81">
        <v>4</v>
      </c>
      <c r="F81">
        <v>200</v>
      </c>
      <c r="G81" s="6">
        <v>800</v>
      </c>
    </row>
    <row r="82" spans="1:7" x14ac:dyDescent="0.25">
      <c r="A82" s="2">
        <v>45460</v>
      </c>
      <c r="B82" t="s">
        <v>7</v>
      </c>
      <c r="C82" t="s">
        <v>18</v>
      </c>
      <c r="D82" t="s">
        <v>21</v>
      </c>
      <c r="E82">
        <v>6</v>
      </c>
      <c r="F82">
        <v>500</v>
      </c>
      <c r="G82" s="6">
        <v>3000</v>
      </c>
    </row>
    <row r="83" spans="1:7" x14ac:dyDescent="0.25">
      <c r="A83" s="2">
        <v>45552</v>
      </c>
      <c r="B83" t="s">
        <v>19</v>
      </c>
      <c r="C83" t="s">
        <v>23</v>
      </c>
      <c r="D83" t="s">
        <v>10</v>
      </c>
      <c r="E83">
        <v>2</v>
      </c>
      <c r="F83">
        <v>120</v>
      </c>
      <c r="G83" s="6">
        <v>240</v>
      </c>
    </row>
    <row r="84" spans="1:7" x14ac:dyDescent="0.25">
      <c r="A84" s="2">
        <v>45383</v>
      </c>
      <c r="B84" t="s">
        <v>19</v>
      </c>
      <c r="C84" t="s">
        <v>23</v>
      </c>
      <c r="D84" t="s">
        <v>12</v>
      </c>
      <c r="E84">
        <v>2</v>
      </c>
      <c r="F84">
        <v>350</v>
      </c>
      <c r="G84" s="6">
        <v>700</v>
      </c>
    </row>
    <row r="85" spans="1:7" x14ac:dyDescent="0.25">
      <c r="A85" s="2">
        <v>45514</v>
      </c>
      <c r="B85" t="s">
        <v>19</v>
      </c>
      <c r="C85" t="s">
        <v>20</v>
      </c>
      <c r="D85" t="s">
        <v>21</v>
      </c>
      <c r="E85">
        <v>10</v>
      </c>
      <c r="F85">
        <v>350</v>
      </c>
      <c r="G85" s="6">
        <v>3500</v>
      </c>
    </row>
    <row r="86" spans="1:7" x14ac:dyDescent="0.25">
      <c r="A86" s="2">
        <v>45351</v>
      </c>
      <c r="B86" t="s">
        <v>17</v>
      </c>
      <c r="C86" t="s">
        <v>18</v>
      </c>
      <c r="D86" t="s">
        <v>10</v>
      </c>
      <c r="E86">
        <v>1</v>
      </c>
      <c r="F86">
        <v>500</v>
      </c>
      <c r="G86" s="6">
        <v>500</v>
      </c>
    </row>
    <row r="87" spans="1:7" x14ac:dyDescent="0.25">
      <c r="A87" s="2">
        <v>45515</v>
      </c>
      <c r="B87" t="s">
        <v>17</v>
      </c>
      <c r="C87" t="s">
        <v>18</v>
      </c>
      <c r="D87" t="s">
        <v>8</v>
      </c>
      <c r="E87">
        <v>7</v>
      </c>
      <c r="F87">
        <v>50</v>
      </c>
      <c r="G87" s="6">
        <v>350</v>
      </c>
    </row>
    <row r="88" spans="1:7" x14ac:dyDescent="0.25">
      <c r="A88" s="2">
        <v>45632</v>
      </c>
      <c r="B88" t="s">
        <v>19</v>
      </c>
      <c r="C88" t="s">
        <v>22</v>
      </c>
      <c r="D88" t="s">
        <v>21</v>
      </c>
      <c r="E88">
        <v>2</v>
      </c>
      <c r="F88">
        <v>500</v>
      </c>
      <c r="G88" s="6">
        <v>1000</v>
      </c>
    </row>
    <row r="89" spans="1:7" x14ac:dyDescent="0.25">
      <c r="A89" s="2">
        <v>45445</v>
      </c>
      <c r="B89" t="s">
        <v>19</v>
      </c>
      <c r="C89" t="s">
        <v>22</v>
      </c>
      <c r="D89" t="s">
        <v>12</v>
      </c>
      <c r="E89">
        <v>7</v>
      </c>
      <c r="F89">
        <v>120</v>
      </c>
      <c r="G89" s="6">
        <v>840</v>
      </c>
    </row>
    <row r="90" spans="1:7" x14ac:dyDescent="0.25">
      <c r="A90" s="2">
        <v>45498</v>
      </c>
      <c r="B90" t="s">
        <v>19</v>
      </c>
      <c r="C90" t="s">
        <v>11</v>
      </c>
      <c r="D90" t="s">
        <v>15</v>
      </c>
      <c r="E90">
        <v>3</v>
      </c>
      <c r="F90">
        <v>80</v>
      </c>
      <c r="G90" s="6">
        <v>240</v>
      </c>
    </row>
    <row r="91" spans="1:7" x14ac:dyDescent="0.25">
      <c r="A91" s="2">
        <v>45507</v>
      </c>
      <c r="B91" t="s">
        <v>13</v>
      </c>
      <c r="C91" t="s">
        <v>22</v>
      </c>
      <c r="D91" t="s">
        <v>15</v>
      </c>
      <c r="E91">
        <v>3</v>
      </c>
      <c r="F91">
        <v>350</v>
      </c>
      <c r="G91" s="6">
        <v>1050</v>
      </c>
    </row>
    <row r="92" spans="1:7" x14ac:dyDescent="0.25">
      <c r="A92" s="2">
        <v>45583</v>
      </c>
      <c r="B92" t="s">
        <v>13</v>
      </c>
      <c r="C92" t="s">
        <v>11</v>
      </c>
      <c r="D92" t="s">
        <v>21</v>
      </c>
      <c r="E92">
        <v>1</v>
      </c>
      <c r="F92">
        <v>120</v>
      </c>
      <c r="G92" s="6">
        <v>120</v>
      </c>
    </row>
    <row r="93" spans="1:7" x14ac:dyDescent="0.25">
      <c r="A93" s="2">
        <v>45438</v>
      </c>
      <c r="B93" t="s">
        <v>13</v>
      </c>
      <c r="C93" t="s">
        <v>11</v>
      </c>
      <c r="D93" t="s">
        <v>9</v>
      </c>
      <c r="E93">
        <v>10</v>
      </c>
      <c r="F93">
        <v>500</v>
      </c>
      <c r="G93" s="6">
        <v>5000</v>
      </c>
    </row>
    <row r="94" spans="1:7" x14ac:dyDescent="0.25">
      <c r="A94" s="2">
        <v>45456</v>
      </c>
      <c r="B94" t="s">
        <v>13</v>
      </c>
      <c r="C94" t="s">
        <v>20</v>
      </c>
      <c r="D94" t="s">
        <v>10</v>
      </c>
      <c r="E94">
        <v>4</v>
      </c>
      <c r="F94">
        <v>350</v>
      </c>
      <c r="G94" s="6">
        <v>1400</v>
      </c>
    </row>
    <row r="95" spans="1:7" x14ac:dyDescent="0.25">
      <c r="A95" s="2">
        <v>45534</v>
      </c>
      <c r="B95" t="s">
        <v>17</v>
      </c>
      <c r="C95" t="s">
        <v>22</v>
      </c>
      <c r="D95" t="s">
        <v>16</v>
      </c>
      <c r="E95">
        <v>2</v>
      </c>
      <c r="F95">
        <v>120</v>
      </c>
      <c r="G95" s="6">
        <v>240</v>
      </c>
    </row>
    <row r="96" spans="1:7" x14ac:dyDescent="0.25">
      <c r="A96" s="2">
        <v>45555</v>
      </c>
      <c r="B96" t="s">
        <v>19</v>
      </c>
      <c r="C96" t="s">
        <v>23</v>
      </c>
      <c r="D96" t="s">
        <v>15</v>
      </c>
      <c r="E96">
        <v>4</v>
      </c>
      <c r="F96">
        <v>500</v>
      </c>
      <c r="G96" s="6">
        <v>2000</v>
      </c>
    </row>
    <row r="97" spans="1:7" x14ac:dyDescent="0.25">
      <c r="A97" s="2">
        <v>45450</v>
      </c>
      <c r="B97" t="s">
        <v>17</v>
      </c>
      <c r="C97" t="s">
        <v>14</v>
      </c>
      <c r="D97" t="s">
        <v>9</v>
      </c>
      <c r="E97">
        <v>1</v>
      </c>
      <c r="F97">
        <v>50</v>
      </c>
      <c r="G97" s="6">
        <v>50</v>
      </c>
    </row>
    <row r="98" spans="1:7" x14ac:dyDescent="0.25">
      <c r="A98" s="2">
        <v>45417</v>
      </c>
      <c r="B98" t="s">
        <v>7</v>
      </c>
      <c r="C98" t="s">
        <v>20</v>
      </c>
      <c r="D98" t="s">
        <v>10</v>
      </c>
      <c r="E98">
        <v>7</v>
      </c>
      <c r="F98">
        <v>500</v>
      </c>
      <c r="G98" s="6">
        <v>3500</v>
      </c>
    </row>
    <row r="99" spans="1:7" x14ac:dyDescent="0.25">
      <c r="A99" s="2">
        <v>45586</v>
      </c>
      <c r="B99" t="s">
        <v>13</v>
      </c>
      <c r="C99" t="s">
        <v>20</v>
      </c>
      <c r="D99" t="s">
        <v>9</v>
      </c>
      <c r="E99">
        <v>7</v>
      </c>
      <c r="F99">
        <v>80</v>
      </c>
      <c r="G99" s="6">
        <v>560</v>
      </c>
    </row>
    <row r="100" spans="1:7" x14ac:dyDescent="0.25">
      <c r="A100" s="2">
        <v>45367</v>
      </c>
      <c r="B100" t="s">
        <v>7</v>
      </c>
      <c r="C100" t="s">
        <v>23</v>
      </c>
      <c r="D100" t="s">
        <v>15</v>
      </c>
      <c r="E100">
        <v>7</v>
      </c>
      <c r="F100">
        <v>80</v>
      </c>
      <c r="G100" s="6">
        <v>560</v>
      </c>
    </row>
    <row r="101" spans="1:7" x14ac:dyDescent="0.25">
      <c r="A101" s="2">
        <v>45382</v>
      </c>
      <c r="B101" t="s">
        <v>13</v>
      </c>
      <c r="C101" t="s">
        <v>23</v>
      </c>
      <c r="D101" t="s">
        <v>16</v>
      </c>
      <c r="E101">
        <v>9</v>
      </c>
      <c r="F101">
        <v>80</v>
      </c>
      <c r="G101" s="6">
        <v>720</v>
      </c>
    </row>
    <row r="102" spans="1:7" x14ac:dyDescent="0.25">
      <c r="A102" s="2">
        <v>45354</v>
      </c>
      <c r="B102" t="s">
        <v>17</v>
      </c>
      <c r="C102" t="s">
        <v>20</v>
      </c>
      <c r="D102" t="s">
        <v>10</v>
      </c>
      <c r="E102">
        <v>9</v>
      </c>
      <c r="F102">
        <v>350</v>
      </c>
      <c r="G102" s="6">
        <v>3150</v>
      </c>
    </row>
    <row r="103" spans="1:7" x14ac:dyDescent="0.25">
      <c r="A103" s="2">
        <v>45596</v>
      </c>
      <c r="B103" t="s">
        <v>13</v>
      </c>
      <c r="C103" t="s">
        <v>11</v>
      </c>
      <c r="D103" t="s">
        <v>21</v>
      </c>
      <c r="E103">
        <v>9</v>
      </c>
      <c r="F103">
        <v>200</v>
      </c>
      <c r="G103" s="6">
        <v>1800</v>
      </c>
    </row>
    <row r="104" spans="1:7" x14ac:dyDescent="0.25">
      <c r="A104" s="2">
        <v>45572</v>
      </c>
      <c r="B104" t="s">
        <v>17</v>
      </c>
      <c r="C104" t="s">
        <v>22</v>
      </c>
      <c r="D104" t="s">
        <v>10</v>
      </c>
      <c r="E104">
        <v>8</v>
      </c>
      <c r="F104">
        <v>200</v>
      </c>
      <c r="G104" s="6">
        <v>1600</v>
      </c>
    </row>
    <row r="105" spans="1:7" x14ac:dyDescent="0.25">
      <c r="A105" s="2">
        <v>45424</v>
      </c>
      <c r="B105" t="s">
        <v>17</v>
      </c>
      <c r="C105" t="s">
        <v>22</v>
      </c>
      <c r="D105" t="s">
        <v>16</v>
      </c>
      <c r="E105">
        <v>5</v>
      </c>
      <c r="F105">
        <v>800</v>
      </c>
      <c r="G105" s="6">
        <v>4000</v>
      </c>
    </row>
    <row r="106" spans="1:7" x14ac:dyDescent="0.25">
      <c r="A106" s="2">
        <v>45558</v>
      </c>
      <c r="B106" t="s">
        <v>17</v>
      </c>
      <c r="C106" t="s">
        <v>18</v>
      </c>
      <c r="D106" t="s">
        <v>10</v>
      </c>
      <c r="E106">
        <v>8</v>
      </c>
      <c r="F106">
        <v>50</v>
      </c>
      <c r="G106" s="6">
        <v>400</v>
      </c>
    </row>
    <row r="107" spans="1:7" x14ac:dyDescent="0.25">
      <c r="A107" s="2">
        <v>45657</v>
      </c>
      <c r="B107" t="s">
        <v>17</v>
      </c>
      <c r="C107" t="s">
        <v>18</v>
      </c>
      <c r="D107" t="s">
        <v>21</v>
      </c>
      <c r="E107">
        <v>6</v>
      </c>
      <c r="F107">
        <v>120</v>
      </c>
      <c r="G107" s="6">
        <v>720</v>
      </c>
    </row>
    <row r="108" spans="1:7" x14ac:dyDescent="0.25">
      <c r="A108" s="2">
        <v>45568</v>
      </c>
      <c r="B108" t="s">
        <v>17</v>
      </c>
      <c r="C108" t="s">
        <v>14</v>
      </c>
      <c r="D108" t="s">
        <v>8</v>
      </c>
      <c r="E108">
        <v>4</v>
      </c>
      <c r="F108">
        <v>200</v>
      </c>
      <c r="G108" s="6">
        <v>800</v>
      </c>
    </row>
    <row r="109" spans="1:7" x14ac:dyDescent="0.25">
      <c r="A109" s="2">
        <v>45647</v>
      </c>
      <c r="B109" t="s">
        <v>17</v>
      </c>
      <c r="C109" t="s">
        <v>23</v>
      </c>
      <c r="D109" t="s">
        <v>9</v>
      </c>
      <c r="E109">
        <v>7</v>
      </c>
      <c r="F109">
        <v>200</v>
      </c>
      <c r="G109" s="6">
        <v>1400</v>
      </c>
    </row>
    <row r="110" spans="1:7" x14ac:dyDescent="0.25">
      <c r="A110" s="2">
        <v>45461</v>
      </c>
      <c r="B110" t="s">
        <v>13</v>
      </c>
      <c r="C110" t="s">
        <v>20</v>
      </c>
      <c r="D110" t="s">
        <v>12</v>
      </c>
      <c r="E110">
        <v>1</v>
      </c>
      <c r="F110">
        <v>80</v>
      </c>
      <c r="G110" s="6">
        <v>80</v>
      </c>
    </row>
    <row r="111" spans="1:7" x14ac:dyDescent="0.25">
      <c r="A111" s="2">
        <v>45507</v>
      </c>
      <c r="B111" t="s">
        <v>7</v>
      </c>
      <c r="C111" t="s">
        <v>11</v>
      </c>
      <c r="D111" t="s">
        <v>10</v>
      </c>
      <c r="E111">
        <v>7</v>
      </c>
      <c r="F111">
        <v>200</v>
      </c>
      <c r="G111" s="6">
        <v>1400</v>
      </c>
    </row>
    <row r="112" spans="1:7" x14ac:dyDescent="0.25">
      <c r="A112" s="2">
        <v>45295</v>
      </c>
      <c r="B112" t="s">
        <v>19</v>
      </c>
      <c r="C112" t="s">
        <v>20</v>
      </c>
      <c r="D112" t="s">
        <v>21</v>
      </c>
      <c r="E112">
        <v>7</v>
      </c>
      <c r="F112">
        <v>350</v>
      </c>
      <c r="G112" s="6">
        <v>2450</v>
      </c>
    </row>
    <row r="113" spans="1:7" x14ac:dyDescent="0.25">
      <c r="A113" s="2">
        <v>45571</v>
      </c>
      <c r="B113" t="s">
        <v>17</v>
      </c>
      <c r="C113" t="s">
        <v>20</v>
      </c>
      <c r="D113" t="s">
        <v>16</v>
      </c>
      <c r="E113">
        <v>4</v>
      </c>
      <c r="F113">
        <v>120</v>
      </c>
      <c r="G113" s="6">
        <v>480</v>
      </c>
    </row>
    <row r="114" spans="1:7" x14ac:dyDescent="0.25">
      <c r="A114" s="2">
        <v>45515</v>
      </c>
      <c r="B114" t="s">
        <v>7</v>
      </c>
      <c r="C114" t="s">
        <v>20</v>
      </c>
      <c r="D114" t="s">
        <v>10</v>
      </c>
      <c r="E114">
        <v>6</v>
      </c>
      <c r="F114">
        <v>500</v>
      </c>
      <c r="G114" s="6">
        <v>3000</v>
      </c>
    </row>
    <row r="115" spans="1:7" x14ac:dyDescent="0.25">
      <c r="A115" s="2">
        <v>45639</v>
      </c>
      <c r="B115" t="s">
        <v>13</v>
      </c>
      <c r="C115" t="s">
        <v>22</v>
      </c>
      <c r="D115" t="s">
        <v>16</v>
      </c>
      <c r="E115">
        <v>3</v>
      </c>
      <c r="F115">
        <v>800</v>
      </c>
      <c r="G115" s="6">
        <v>2400</v>
      </c>
    </row>
    <row r="116" spans="1:7" x14ac:dyDescent="0.25">
      <c r="A116" s="2">
        <v>45531</v>
      </c>
      <c r="B116" t="s">
        <v>7</v>
      </c>
      <c r="C116" t="s">
        <v>20</v>
      </c>
      <c r="D116" t="s">
        <v>9</v>
      </c>
      <c r="E116">
        <v>10</v>
      </c>
      <c r="F116">
        <v>350</v>
      </c>
      <c r="G116" s="6">
        <v>3500</v>
      </c>
    </row>
    <row r="117" spans="1:7" x14ac:dyDescent="0.25">
      <c r="A117" s="2">
        <v>45631</v>
      </c>
      <c r="B117" t="s">
        <v>7</v>
      </c>
      <c r="C117" t="s">
        <v>22</v>
      </c>
      <c r="D117" t="s">
        <v>8</v>
      </c>
      <c r="E117">
        <v>7</v>
      </c>
      <c r="F117">
        <v>80</v>
      </c>
      <c r="G117" s="6">
        <v>560</v>
      </c>
    </row>
    <row r="118" spans="1:7" x14ac:dyDescent="0.25">
      <c r="A118" s="2">
        <v>45528</v>
      </c>
      <c r="B118" t="s">
        <v>7</v>
      </c>
      <c r="C118" t="s">
        <v>18</v>
      </c>
      <c r="D118" t="s">
        <v>9</v>
      </c>
      <c r="E118">
        <v>7</v>
      </c>
      <c r="F118">
        <v>120</v>
      </c>
      <c r="G118" s="6">
        <v>840</v>
      </c>
    </row>
    <row r="119" spans="1:7" x14ac:dyDescent="0.25">
      <c r="A119" s="2">
        <v>45400</v>
      </c>
      <c r="B119" t="s">
        <v>19</v>
      </c>
      <c r="C119" t="s">
        <v>18</v>
      </c>
      <c r="D119" t="s">
        <v>10</v>
      </c>
      <c r="E119">
        <v>7</v>
      </c>
      <c r="F119">
        <v>120</v>
      </c>
      <c r="G119" s="6">
        <v>840</v>
      </c>
    </row>
    <row r="120" spans="1:7" x14ac:dyDescent="0.25">
      <c r="A120" s="2">
        <v>45507</v>
      </c>
      <c r="B120" t="s">
        <v>7</v>
      </c>
      <c r="C120" t="s">
        <v>20</v>
      </c>
      <c r="D120" t="s">
        <v>21</v>
      </c>
      <c r="E120">
        <v>1</v>
      </c>
      <c r="F120">
        <v>500</v>
      </c>
      <c r="G120" s="6">
        <v>500</v>
      </c>
    </row>
    <row r="121" spans="1:7" x14ac:dyDescent="0.25">
      <c r="A121" s="2">
        <v>45568</v>
      </c>
      <c r="B121" t="s">
        <v>19</v>
      </c>
      <c r="C121" t="s">
        <v>14</v>
      </c>
      <c r="D121" t="s">
        <v>8</v>
      </c>
      <c r="E121">
        <v>2</v>
      </c>
      <c r="F121">
        <v>800</v>
      </c>
      <c r="G121" s="6">
        <v>1600</v>
      </c>
    </row>
    <row r="122" spans="1:7" x14ac:dyDescent="0.25">
      <c r="A122" s="2">
        <v>45625</v>
      </c>
      <c r="B122" t="s">
        <v>7</v>
      </c>
      <c r="C122" t="s">
        <v>14</v>
      </c>
      <c r="D122" t="s">
        <v>8</v>
      </c>
      <c r="E122">
        <v>4</v>
      </c>
      <c r="F122">
        <v>800</v>
      </c>
      <c r="G122" s="6">
        <v>3200</v>
      </c>
    </row>
    <row r="123" spans="1:7" x14ac:dyDescent="0.25">
      <c r="A123" s="2">
        <v>45302</v>
      </c>
      <c r="B123" t="s">
        <v>17</v>
      </c>
      <c r="C123" t="s">
        <v>14</v>
      </c>
      <c r="D123" t="s">
        <v>12</v>
      </c>
      <c r="E123">
        <v>3</v>
      </c>
      <c r="F123">
        <v>200</v>
      </c>
      <c r="G123" s="6">
        <v>600</v>
      </c>
    </row>
    <row r="124" spans="1:7" x14ac:dyDescent="0.25">
      <c r="A124" s="2">
        <v>45634</v>
      </c>
      <c r="B124" t="s">
        <v>17</v>
      </c>
      <c r="C124" t="s">
        <v>20</v>
      </c>
      <c r="D124" t="s">
        <v>8</v>
      </c>
      <c r="E124">
        <v>5</v>
      </c>
      <c r="F124">
        <v>800</v>
      </c>
      <c r="G124" s="6">
        <v>4000</v>
      </c>
    </row>
    <row r="125" spans="1:7" x14ac:dyDescent="0.25">
      <c r="A125" s="2">
        <v>45480</v>
      </c>
      <c r="B125" t="s">
        <v>7</v>
      </c>
      <c r="C125" t="s">
        <v>14</v>
      </c>
      <c r="D125" t="s">
        <v>9</v>
      </c>
      <c r="E125">
        <v>5</v>
      </c>
      <c r="F125">
        <v>50</v>
      </c>
      <c r="G125" s="6">
        <v>250</v>
      </c>
    </row>
    <row r="126" spans="1:7" x14ac:dyDescent="0.25">
      <c r="A126" s="2">
        <v>45588</v>
      </c>
      <c r="B126" t="s">
        <v>19</v>
      </c>
      <c r="C126" t="s">
        <v>11</v>
      </c>
      <c r="D126" t="s">
        <v>8</v>
      </c>
      <c r="E126">
        <v>7</v>
      </c>
      <c r="F126">
        <v>200</v>
      </c>
      <c r="G126" s="6">
        <v>1400</v>
      </c>
    </row>
    <row r="127" spans="1:7" x14ac:dyDescent="0.25">
      <c r="A127" s="2">
        <v>45393</v>
      </c>
      <c r="B127" t="s">
        <v>17</v>
      </c>
      <c r="C127" t="s">
        <v>23</v>
      </c>
      <c r="D127" t="s">
        <v>8</v>
      </c>
      <c r="E127">
        <v>5</v>
      </c>
      <c r="F127">
        <v>800</v>
      </c>
      <c r="G127" s="6">
        <v>4000</v>
      </c>
    </row>
    <row r="128" spans="1:7" x14ac:dyDescent="0.25">
      <c r="A128" s="2">
        <v>45642</v>
      </c>
      <c r="B128" t="s">
        <v>7</v>
      </c>
      <c r="C128" t="s">
        <v>11</v>
      </c>
      <c r="D128" t="s">
        <v>12</v>
      </c>
      <c r="E128">
        <v>1</v>
      </c>
      <c r="F128">
        <v>120</v>
      </c>
      <c r="G128" s="6">
        <v>120</v>
      </c>
    </row>
    <row r="129" spans="1:7" x14ac:dyDescent="0.25">
      <c r="A129" s="2">
        <v>45564</v>
      </c>
      <c r="B129" t="s">
        <v>19</v>
      </c>
      <c r="C129" t="s">
        <v>23</v>
      </c>
      <c r="D129" t="s">
        <v>10</v>
      </c>
      <c r="E129">
        <v>9</v>
      </c>
      <c r="F129">
        <v>500</v>
      </c>
      <c r="G129" s="6">
        <v>4500</v>
      </c>
    </row>
    <row r="130" spans="1:7" x14ac:dyDescent="0.25">
      <c r="A130" s="2">
        <v>45466</v>
      </c>
      <c r="B130" t="s">
        <v>13</v>
      </c>
      <c r="C130" t="s">
        <v>20</v>
      </c>
      <c r="D130" t="s">
        <v>8</v>
      </c>
      <c r="E130">
        <v>2</v>
      </c>
      <c r="F130">
        <v>200</v>
      </c>
      <c r="G130" s="6">
        <v>400</v>
      </c>
    </row>
    <row r="131" spans="1:7" x14ac:dyDescent="0.25">
      <c r="A131" s="2">
        <v>45477</v>
      </c>
      <c r="B131" t="s">
        <v>13</v>
      </c>
      <c r="C131" t="s">
        <v>22</v>
      </c>
      <c r="D131" t="s">
        <v>15</v>
      </c>
      <c r="E131">
        <v>3</v>
      </c>
      <c r="F131">
        <v>200</v>
      </c>
      <c r="G131" s="6">
        <v>600</v>
      </c>
    </row>
    <row r="132" spans="1:7" x14ac:dyDescent="0.25">
      <c r="A132" s="2">
        <v>45382</v>
      </c>
      <c r="B132" t="s">
        <v>19</v>
      </c>
      <c r="C132" t="s">
        <v>11</v>
      </c>
      <c r="D132" t="s">
        <v>15</v>
      </c>
      <c r="E132">
        <v>9</v>
      </c>
      <c r="F132">
        <v>800</v>
      </c>
      <c r="G132" s="6">
        <v>7200</v>
      </c>
    </row>
    <row r="133" spans="1:7" x14ac:dyDescent="0.25">
      <c r="A133" s="2">
        <v>45539</v>
      </c>
      <c r="B133" t="s">
        <v>13</v>
      </c>
      <c r="C133" t="s">
        <v>22</v>
      </c>
      <c r="D133" t="s">
        <v>10</v>
      </c>
      <c r="E133">
        <v>10</v>
      </c>
      <c r="F133">
        <v>120</v>
      </c>
      <c r="G133" s="6">
        <v>1200</v>
      </c>
    </row>
    <row r="134" spans="1:7" x14ac:dyDescent="0.25">
      <c r="A134" s="2">
        <v>45457</v>
      </c>
      <c r="B134" t="s">
        <v>17</v>
      </c>
      <c r="C134" t="s">
        <v>23</v>
      </c>
      <c r="D134" t="s">
        <v>16</v>
      </c>
      <c r="E134">
        <v>5</v>
      </c>
      <c r="F134">
        <v>200</v>
      </c>
      <c r="G134" s="6">
        <v>1000</v>
      </c>
    </row>
    <row r="135" spans="1:7" x14ac:dyDescent="0.25">
      <c r="A135" s="2">
        <v>45416</v>
      </c>
      <c r="B135" t="s">
        <v>13</v>
      </c>
      <c r="C135" t="s">
        <v>11</v>
      </c>
      <c r="D135" t="s">
        <v>16</v>
      </c>
      <c r="E135">
        <v>10</v>
      </c>
      <c r="F135">
        <v>500</v>
      </c>
      <c r="G135" s="6">
        <v>5000</v>
      </c>
    </row>
    <row r="136" spans="1:7" x14ac:dyDescent="0.25">
      <c r="A136" s="2">
        <v>45486</v>
      </c>
      <c r="B136" t="s">
        <v>7</v>
      </c>
      <c r="C136" t="s">
        <v>20</v>
      </c>
      <c r="D136" t="s">
        <v>21</v>
      </c>
      <c r="E136">
        <v>6</v>
      </c>
      <c r="F136">
        <v>80</v>
      </c>
      <c r="G136" s="6">
        <v>480</v>
      </c>
    </row>
    <row r="137" spans="1:7" x14ac:dyDescent="0.25">
      <c r="A137" s="2">
        <v>45541</v>
      </c>
      <c r="B137" t="s">
        <v>19</v>
      </c>
      <c r="C137" t="s">
        <v>18</v>
      </c>
      <c r="D137" t="s">
        <v>9</v>
      </c>
      <c r="E137">
        <v>6</v>
      </c>
      <c r="F137">
        <v>120</v>
      </c>
      <c r="G137" s="6">
        <v>720</v>
      </c>
    </row>
    <row r="138" spans="1:7" x14ac:dyDescent="0.25">
      <c r="A138" s="2">
        <v>45597</v>
      </c>
      <c r="B138" t="s">
        <v>19</v>
      </c>
      <c r="C138" t="s">
        <v>11</v>
      </c>
      <c r="D138" t="s">
        <v>15</v>
      </c>
      <c r="E138">
        <v>1</v>
      </c>
      <c r="F138">
        <v>350</v>
      </c>
      <c r="G138" s="6">
        <v>350</v>
      </c>
    </row>
    <row r="139" spans="1:7" x14ac:dyDescent="0.25">
      <c r="A139" s="2">
        <v>45389</v>
      </c>
      <c r="B139" t="s">
        <v>17</v>
      </c>
      <c r="C139" t="s">
        <v>22</v>
      </c>
      <c r="D139" t="s">
        <v>8</v>
      </c>
      <c r="E139">
        <v>7</v>
      </c>
      <c r="F139">
        <v>200</v>
      </c>
      <c r="G139" s="6">
        <v>1400</v>
      </c>
    </row>
    <row r="140" spans="1:7" x14ac:dyDescent="0.25">
      <c r="A140" s="2">
        <v>45576</v>
      </c>
      <c r="B140" t="s">
        <v>17</v>
      </c>
      <c r="C140" t="s">
        <v>22</v>
      </c>
      <c r="D140" t="s">
        <v>16</v>
      </c>
      <c r="E140">
        <v>8</v>
      </c>
      <c r="F140">
        <v>500</v>
      </c>
      <c r="G140" s="6">
        <v>4000</v>
      </c>
    </row>
    <row r="141" spans="1:7" x14ac:dyDescent="0.25">
      <c r="A141" s="2">
        <v>45656</v>
      </c>
      <c r="B141" t="s">
        <v>13</v>
      </c>
      <c r="C141" t="s">
        <v>23</v>
      </c>
      <c r="D141" t="s">
        <v>10</v>
      </c>
      <c r="E141">
        <v>2</v>
      </c>
      <c r="F141">
        <v>120</v>
      </c>
      <c r="G141" s="6">
        <v>240</v>
      </c>
    </row>
    <row r="142" spans="1:7" x14ac:dyDescent="0.25">
      <c r="A142" s="2">
        <v>45405</v>
      </c>
      <c r="B142" t="s">
        <v>17</v>
      </c>
      <c r="C142" t="s">
        <v>18</v>
      </c>
      <c r="D142" t="s">
        <v>10</v>
      </c>
      <c r="E142">
        <v>10</v>
      </c>
      <c r="F142">
        <v>120</v>
      </c>
      <c r="G142" s="6">
        <v>1200</v>
      </c>
    </row>
    <row r="143" spans="1:7" x14ac:dyDescent="0.25">
      <c r="A143" s="2">
        <v>45534</v>
      </c>
      <c r="B143" t="s">
        <v>19</v>
      </c>
      <c r="C143" t="s">
        <v>20</v>
      </c>
      <c r="D143" t="s">
        <v>12</v>
      </c>
      <c r="E143">
        <v>9</v>
      </c>
      <c r="F143">
        <v>120</v>
      </c>
      <c r="G143" s="6">
        <v>1080</v>
      </c>
    </row>
    <row r="144" spans="1:7" x14ac:dyDescent="0.25">
      <c r="A144" s="2">
        <v>45472</v>
      </c>
      <c r="B144" t="s">
        <v>13</v>
      </c>
      <c r="C144" t="s">
        <v>18</v>
      </c>
      <c r="D144" t="s">
        <v>15</v>
      </c>
      <c r="E144">
        <v>5</v>
      </c>
      <c r="F144">
        <v>120</v>
      </c>
      <c r="G144" s="6">
        <v>600</v>
      </c>
    </row>
    <row r="145" spans="1:7" x14ac:dyDescent="0.25">
      <c r="A145" s="2">
        <v>45410</v>
      </c>
      <c r="B145" t="s">
        <v>17</v>
      </c>
      <c r="C145" t="s">
        <v>18</v>
      </c>
      <c r="D145" t="s">
        <v>8</v>
      </c>
      <c r="E145">
        <v>2</v>
      </c>
      <c r="F145">
        <v>500</v>
      </c>
      <c r="G145" s="6">
        <v>1000</v>
      </c>
    </row>
    <row r="146" spans="1:7" x14ac:dyDescent="0.25">
      <c r="A146" s="2">
        <v>45566</v>
      </c>
      <c r="B146" t="s">
        <v>17</v>
      </c>
      <c r="C146" t="s">
        <v>14</v>
      </c>
      <c r="D146" t="s">
        <v>16</v>
      </c>
      <c r="E146">
        <v>4</v>
      </c>
      <c r="F146">
        <v>500</v>
      </c>
      <c r="G146" s="6">
        <v>2000</v>
      </c>
    </row>
    <row r="147" spans="1:7" x14ac:dyDescent="0.25">
      <c r="A147" s="2">
        <v>45539</v>
      </c>
      <c r="B147" t="s">
        <v>19</v>
      </c>
      <c r="C147" t="s">
        <v>23</v>
      </c>
      <c r="D147" t="s">
        <v>21</v>
      </c>
      <c r="E147">
        <v>4</v>
      </c>
      <c r="F147">
        <v>120</v>
      </c>
      <c r="G147" s="6">
        <v>480</v>
      </c>
    </row>
    <row r="148" spans="1:7" x14ac:dyDescent="0.25">
      <c r="A148" s="2">
        <v>45408</v>
      </c>
      <c r="B148" t="s">
        <v>17</v>
      </c>
      <c r="C148" t="s">
        <v>18</v>
      </c>
      <c r="D148" t="s">
        <v>21</v>
      </c>
      <c r="E148">
        <v>1</v>
      </c>
      <c r="F148">
        <v>500</v>
      </c>
      <c r="G148" s="6">
        <v>500</v>
      </c>
    </row>
    <row r="149" spans="1:7" x14ac:dyDescent="0.25">
      <c r="A149" s="2">
        <v>45565</v>
      </c>
      <c r="B149" t="s">
        <v>19</v>
      </c>
      <c r="C149" t="s">
        <v>23</v>
      </c>
      <c r="D149" t="s">
        <v>9</v>
      </c>
      <c r="E149">
        <v>1</v>
      </c>
      <c r="F149">
        <v>350</v>
      </c>
      <c r="G149" s="6">
        <v>350</v>
      </c>
    </row>
    <row r="150" spans="1:7" x14ac:dyDescent="0.25">
      <c r="A150" s="2">
        <v>45441</v>
      </c>
      <c r="B150" t="s">
        <v>17</v>
      </c>
      <c r="C150" t="s">
        <v>22</v>
      </c>
      <c r="D150" t="s">
        <v>15</v>
      </c>
      <c r="E150">
        <v>8</v>
      </c>
      <c r="F150">
        <v>50</v>
      </c>
      <c r="G150" s="6">
        <v>400</v>
      </c>
    </row>
    <row r="151" spans="1:7" x14ac:dyDescent="0.25">
      <c r="A151" s="2">
        <v>45298</v>
      </c>
      <c r="B151" t="s">
        <v>19</v>
      </c>
      <c r="C151" t="s">
        <v>20</v>
      </c>
      <c r="D151" t="s">
        <v>12</v>
      </c>
      <c r="E151">
        <v>8</v>
      </c>
      <c r="F151">
        <v>200</v>
      </c>
      <c r="G151" s="6">
        <v>1600</v>
      </c>
    </row>
    <row r="152" spans="1:7" x14ac:dyDescent="0.25">
      <c r="A152" s="2">
        <v>45466</v>
      </c>
      <c r="B152" t="s">
        <v>7</v>
      </c>
      <c r="C152" t="s">
        <v>18</v>
      </c>
      <c r="D152" t="s">
        <v>9</v>
      </c>
      <c r="E152">
        <v>8</v>
      </c>
      <c r="F152">
        <v>50</v>
      </c>
      <c r="G152" s="6">
        <v>400</v>
      </c>
    </row>
    <row r="153" spans="1:7" x14ac:dyDescent="0.25">
      <c r="A153" s="2">
        <v>45325</v>
      </c>
      <c r="B153" t="s">
        <v>13</v>
      </c>
      <c r="C153" t="s">
        <v>23</v>
      </c>
      <c r="D153" t="s">
        <v>10</v>
      </c>
      <c r="E153">
        <v>10</v>
      </c>
      <c r="F153">
        <v>500</v>
      </c>
      <c r="G153" s="6">
        <v>5000</v>
      </c>
    </row>
    <row r="154" spans="1:7" x14ac:dyDescent="0.25">
      <c r="A154" s="2">
        <v>45643</v>
      </c>
      <c r="B154" t="s">
        <v>17</v>
      </c>
      <c r="C154" t="s">
        <v>14</v>
      </c>
      <c r="D154" t="s">
        <v>8</v>
      </c>
      <c r="E154">
        <v>10</v>
      </c>
      <c r="F154">
        <v>120</v>
      </c>
      <c r="G154" s="6">
        <v>1200</v>
      </c>
    </row>
    <row r="155" spans="1:7" x14ac:dyDescent="0.25">
      <c r="A155" s="2">
        <v>45335</v>
      </c>
      <c r="B155" t="s">
        <v>7</v>
      </c>
      <c r="C155" t="s">
        <v>11</v>
      </c>
      <c r="D155" t="s">
        <v>9</v>
      </c>
      <c r="E155">
        <v>7</v>
      </c>
      <c r="F155">
        <v>350</v>
      </c>
      <c r="G155" s="6">
        <v>2450</v>
      </c>
    </row>
    <row r="156" spans="1:7" x14ac:dyDescent="0.25">
      <c r="A156" s="2">
        <v>45597</v>
      </c>
      <c r="B156" t="s">
        <v>17</v>
      </c>
      <c r="C156" t="s">
        <v>11</v>
      </c>
      <c r="D156" t="s">
        <v>16</v>
      </c>
      <c r="E156">
        <v>7</v>
      </c>
      <c r="F156">
        <v>200</v>
      </c>
      <c r="G156" s="6">
        <v>1400</v>
      </c>
    </row>
    <row r="157" spans="1:7" x14ac:dyDescent="0.25">
      <c r="A157" s="2">
        <v>45518</v>
      </c>
      <c r="B157" t="s">
        <v>13</v>
      </c>
      <c r="C157" t="s">
        <v>18</v>
      </c>
      <c r="D157" t="s">
        <v>21</v>
      </c>
      <c r="E157">
        <v>10</v>
      </c>
      <c r="F157">
        <v>350</v>
      </c>
      <c r="G157" s="6">
        <v>3500</v>
      </c>
    </row>
    <row r="158" spans="1:7" x14ac:dyDescent="0.25">
      <c r="A158" s="2">
        <v>45322</v>
      </c>
      <c r="B158" t="s">
        <v>7</v>
      </c>
      <c r="C158" t="s">
        <v>14</v>
      </c>
      <c r="D158" t="s">
        <v>12</v>
      </c>
      <c r="E158">
        <v>4</v>
      </c>
      <c r="F158">
        <v>120</v>
      </c>
      <c r="G158" s="6">
        <v>480</v>
      </c>
    </row>
    <row r="159" spans="1:7" x14ac:dyDescent="0.25">
      <c r="A159" s="2">
        <v>45630</v>
      </c>
      <c r="B159" t="s">
        <v>17</v>
      </c>
      <c r="C159" t="s">
        <v>14</v>
      </c>
      <c r="D159" t="s">
        <v>8</v>
      </c>
      <c r="E159">
        <v>3</v>
      </c>
      <c r="F159">
        <v>350</v>
      </c>
      <c r="G159" s="6">
        <v>1050</v>
      </c>
    </row>
    <row r="160" spans="1:7" x14ac:dyDescent="0.25">
      <c r="A160" s="2">
        <v>45330</v>
      </c>
      <c r="B160" t="s">
        <v>7</v>
      </c>
      <c r="C160" t="s">
        <v>20</v>
      </c>
      <c r="D160" t="s">
        <v>9</v>
      </c>
      <c r="E160">
        <v>8</v>
      </c>
      <c r="F160">
        <v>500</v>
      </c>
      <c r="G160" s="6">
        <v>4000</v>
      </c>
    </row>
    <row r="161" spans="1:7" x14ac:dyDescent="0.25">
      <c r="A161" s="2">
        <v>45596</v>
      </c>
      <c r="B161" t="s">
        <v>19</v>
      </c>
      <c r="C161" t="s">
        <v>23</v>
      </c>
      <c r="D161" t="s">
        <v>10</v>
      </c>
      <c r="E161">
        <v>4</v>
      </c>
      <c r="F161">
        <v>120</v>
      </c>
      <c r="G161" s="6">
        <v>480</v>
      </c>
    </row>
    <row r="162" spans="1:7" x14ac:dyDescent="0.25">
      <c r="A162" s="2">
        <v>45653</v>
      </c>
      <c r="B162" t="s">
        <v>13</v>
      </c>
      <c r="C162" t="s">
        <v>23</v>
      </c>
      <c r="D162" t="s">
        <v>21</v>
      </c>
      <c r="E162">
        <v>4</v>
      </c>
      <c r="F162">
        <v>120</v>
      </c>
      <c r="G162" s="6">
        <v>480</v>
      </c>
    </row>
    <row r="163" spans="1:7" x14ac:dyDescent="0.25">
      <c r="A163" s="2">
        <v>45612</v>
      </c>
      <c r="B163" t="s">
        <v>17</v>
      </c>
      <c r="C163" t="s">
        <v>20</v>
      </c>
      <c r="D163" t="s">
        <v>12</v>
      </c>
      <c r="E163">
        <v>2</v>
      </c>
      <c r="F163">
        <v>350</v>
      </c>
      <c r="G163" s="6">
        <v>700</v>
      </c>
    </row>
    <row r="164" spans="1:7" x14ac:dyDescent="0.25">
      <c r="A164" s="2">
        <v>45407</v>
      </c>
      <c r="B164" t="s">
        <v>17</v>
      </c>
      <c r="C164" t="s">
        <v>18</v>
      </c>
      <c r="D164" t="s">
        <v>15</v>
      </c>
      <c r="E164">
        <v>3</v>
      </c>
      <c r="F164">
        <v>50</v>
      </c>
      <c r="G164" s="6">
        <v>150</v>
      </c>
    </row>
    <row r="165" spans="1:7" x14ac:dyDescent="0.25">
      <c r="A165" s="2">
        <v>45322</v>
      </c>
      <c r="B165" t="s">
        <v>19</v>
      </c>
      <c r="C165" t="s">
        <v>11</v>
      </c>
      <c r="D165" t="s">
        <v>9</v>
      </c>
      <c r="E165">
        <v>10</v>
      </c>
      <c r="F165">
        <v>120</v>
      </c>
      <c r="G165" s="6">
        <v>1200</v>
      </c>
    </row>
    <row r="166" spans="1:7" x14ac:dyDescent="0.25">
      <c r="A166" s="2">
        <v>45516</v>
      </c>
      <c r="B166" t="s">
        <v>13</v>
      </c>
      <c r="C166" t="s">
        <v>22</v>
      </c>
      <c r="D166" t="s">
        <v>8</v>
      </c>
      <c r="E166">
        <v>5</v>
      </c>
      <c r="F166">
        <v>500</v>
      </c>
      <c r="G166" s="6">
        <v>2500</v>
      </c>
    </row>
    <row r="167" spans="1:7" x14ac:dyDescent="0.25">
      <c r="A167" s="2">
        <v>45498</v>
      </c>
      <c r="B167" t="s">
        <v>13</v>
      </c>
      <c r="C167" t="s">
        <v>20</v>
      </c>
      <c r="D167" t="s">
        <v>21</v>
      </c>
      <c r="E167">
        <v>2</v>
      </c>
      <c r="F167">
        <v>350</v>
      </c>
      <c r="G167" s="6">
        <v>700</v>
      </c>
    </row>
    <row r="168" spans="1:7" x14ac:dyDescent="0.25">
      <c r="A168" s="2">
        <v>45312</v>
      </c>
      <c r="B168" t="s">
        <v>19</v>
      </c>
      <c r="C168" t="s">
        <v>11</v>
      </c>
      <c r="D168" t="s">
        <v>10</v>
      </c>
      <c r="E168">
        <v>5</v>
      </c>
      <c r="F168">
        <v>50</v>
      </c>
      <c r="G168" s="6">
        <v>250</v>
      </c>
    </row>
    <row r="169" spans="1:7" x14ac:dyDescent="0.25">
      <c r="A169" s="2">
        <v>45338</v>
      </c>
      <c r="B169" t="s">
        <v>7</v>
      </c>
      <c r="C169" t="s">
        <v>22</v>
      </c>
      <c r="D169" t="s">
        <v>9</v>
      </c>
      <c r="E169">
        <v>5</v>
      </c>
      <c r="F169">
        <v>350</v>
      </c>
      <c r="G169" s="6">
        <v>1750</v>
      </c>
    </row>
    <row r="170" spans="1:7" x14ac:dyDescent="0.25">
      <c r="A170" s="2">
        <v>45312</v>
      </c>
      <c r="B170" t="s">
        <v>17</v>
      </c>
      <c r="C170" t="s">
        <v>20</v>
      </c>
      <c r="D170" t="s">
        <v>16</v>
      </c>
      <c r="E170">
        <v>9</v>
      </c>
      <c r="F170">
        <v>500</v>
      </c>
      <c r="G170" s="6">
        <v>4500</v>
      </c>
    </row>
    <row r="171" spans="1:7" x14ac:dyDescent="0.25">
      <c r="A171" s="2">
        <v>45518</v>
      </c>
      <c r="B171" t="s">
        <v>17</v>
      </c>
      <c r="C171" t="s">
        <v>11</v>
      </c>
      <c r="D171" t="s">
        <v>21</v>
      </c>
      <c r="E171">
        <v>7</v>
      </c>
      <c r="F171">
        <v>500</v>
      </c>
      <c r="G171" s="6">
        <v>3500</v>
      </c>
    </row>
    <row r="172" spans="1:7" x14ac:dyDescent="0.25">
      <c r="A172" s="2">
        <v>45543</v>
      </c>
      <c r="B172" t="s">
        <v>13</v>
      </c>
      <c r="C172" t="s">
        <v>18</v>
      </c>
      <c r="D172" t="s">
        <v>8</v>
      </c>
      <c r="E172">
        <v>7</v>
      </c>
      <c r="F172">
        <v>120</v>
      </c>
      <c r="G172" s="6">
        <v>840</v>
      </c>
    </row>
    <row r="173" spans="1:7" x14ac:dyDescent="0.25">
      <c r="A173" s="2">
        <v>45456</v>
      </c>
      <c r="B173" t="s">
        <v>7</v>
      </c>
      <c r="C173" t="s">
        <v>14</v>
      </c>
      <c r="D173" t="s">
        <v>15</v>
      </c>
      <c r="E173">
        <v>6</v>
      </c>
      <c r="F173">
        <v>200</v>
      </c>
      <c r="G173" s="6">
        <v>1200</v>
      </c>
    </row>
    <row r="174" spans="1:7" x14ac:dyDescent="0.25">
      <c r="A174" s="2">
        <v>45647</v>
      </c>
      <c r="B174" t="s">
        <v>19</v>
      </c>
      <c r="C174" t="s">
        <v>22</v>
      </c>
      <c r="D174" t="s">
        <v>10</v>
      </c>
      <c r="E174">
        <v>7</v>
      </c>
      <c r="F174">
        <v>800</v>
      </c>
      <c r="G174" s="6">
        <v>5600</v>
      </c>
    </row>
    <row r="175" spans="1:7" x14ac:dyDescent="0.25">
      <c r="A175" s="2">
        <v>45573</v>
      </c>
      <c r="B175" t="s">
        <v>13</v>
      </c>
      <c r="C175" t="s">
        <v>23</v>
      </c>
      <c r="D175" t="s">
        <v>8</v>
      </c>
      <c r="E175">
        <v>6</v>
      </c>
      <c r="F175">
        <v>120</v>
      </c>
      <c r="G175" s="6">
        <v>720</v>
      </c>
    </row>
    <row r="176" spans="1:7" x14ac:dyDescent="0.25">
      <c r="A176" s="2">
        <v>45457</v>
      </c>
      <c r="B176" t="s">
        <v>13</v>
      </c>
      <c r="C176" t="s">
        <v>11</v>
      </c>
      <c r="D176" t="s">
        <v>8</v>
      </c>
      <c r="E176">
        <v>1</v>
      </c>
      <c r="F176">
        <v>500</v>
      </c>
      <c r="G176" s="6">
        <v>500</v>
      </c>
    </row>
    <row r="177" spans="1:7" x14ac:dyDescent="0.25">
      <c r="A177" s="2">
        <v>45569</v>
      </c>
      <c r="B177" t="s">
        <v>13</v>
      </c>
      <c r="C177" t="s">
        <v>23</v>
      </c>
      <c r="D177" t="s">
        <v>10</v>
      </c>
      <c r="E177">
        <v>4</v>
      </c>
      <c r="F177">
        <v>350</v>
      </c>
      <c r="G177" s="6">
        <v>1400</v>
      </c>
    </row>
    <row r="178" spans="1:7" x14ac:dyDescent="0.25">
      <c r="A178" s="2">
        <v>45477</v>
      </c>
      <c r="B178" t="s">
        <v>13</v>
      </c>
      <c r="C178" t="s">
        <v>22</v>
      </c>
      <c r="D178" t="s">
        <v>12</v>
      </c>
      <c r="E178">
        <v>8</v>
      </c>
      <c r="F178">
        <v>800</v>
      </c>
      <c r="G178" s="6">
        <v>6400</v>
      </c>
    </row>
    <row r="179" spans="1:7" x14ac:dyDescent="0.25">
      <c r="A179" s="2">
        <v>45318</v>
      </c>
      <c r="B179" t="s">
        <v>19</v>
      </c>
      <c r="C179" t="s">
        <v>11</v>
      </c>
      <c r="D179" t="s">
        <v>9</v>
      </c>
      <c r="E179">
        <v>3</v>
      </c>
      <c r="F179">
        <v>120</v>
      </c>
      <c r="G179" s="6">
        <v>360</v>
      </c>
    </row>
    <row r="180" spans="1:7" x14ac:dyDescent="0.25">
      <c r="A180" s="2">
        <v>45516</v>
      </c>
      <c r="B180" t="s">
        <v>13</v>
      </c>
      <c r="C180" t="s">
        <v>23</v>
      </c>
      <c r="D180" t="s">
        <v>15</v>
      </c>
      <c r="E180">
        <v>1</v>
      </c>
      <c r="F180">
        <v>500</v>
      </c>
      <c r="G180" s="6">
        <v>500</v>
      </c>
    </row>
    <row r="181" spans="1:7" x14ac:dyDescent="0.25">
      <c r="A181" s="2">
        <v>45603</v>
      </c>
      <c r="B181" t="s">
        <v>17</v>
      </c>
      <c r="C181" t="s">
        <v>22</v>
      </c>
      <c r="D181" t="s">
        <v>16</v>
      </c>
      <c r="E181">
        <v>3</v>
      </c>
      <c r="F181">
        <v>120</v>
      </c>
      <c r="G181" s="6">
        <v>360</v>
      </c>
    </row>
    <row r="182" spans="1:7" x14ac:dyDescent="0.25">
      <c r="A182" s="2">
        <v>45574</v>
      </c>
      <c r="B182" t="s">
        <v>13</v>
      </c>
      <c r="C182" t="s">
        <v>23</v>
      </c>
      <c r="D182" t="s">
        <v>8</v>
      </c>
      <c r="E182">
        <v>4</v>
      </c>
      <c r="F182">
        <v>800</v>
      </c>
      <c r="G182" s="6">
        <v>3200</v>
      </c>
    </row>
    <row r="183" spans="1:7" x14ac:dyDescent="0.25">
      <c r="A183" s="2">
        <v>45350</v>
      </c>
      <c r="B183" t="s">
        <v>7</v>
      </c>
      <c r="C183" t="s">
        <v>22</v>
      </c>
      <c r="D183" t="s">
        <v>10</v>
      </c>
      <c r="E183">
        <v>3</v>
      </c>
      <c r="F183">
        <v>200</v>
      </c>
      <c r="G183" s="6">
        <v>600</v>
      </c>
    </row>
    <row r="184" spans="1:7" x14ac:dyDescent="0.25">
      <c r="A184" s="2">
        <v>45441</v>
      </c>
      <c r="B184" t="s">
        <v>19</v>
      </c>
      <c r="C184" t="s">
        <v>20</v>
      </c>
      <c r="D184" t="s">
        <v>12</v>
      </c>
      <c r="E184">
        <v>8</v>
      </c>
      <c r="F184">
        <v>200</v>
      </c>
      <c r="G184" s="6">
        <v>1600</v>
      </c>
    </row>
    <row r="185" spans="1:7" x14ac:dyDescent="0.25">
      <c r="A185" s="2">
        <v>45416</v>
      </c>
      <c r="B185" t="s">
        <v>17</v>
      </c>
      <c r="C185" t="s">
        <v>20</v>
      </c>
      <c r="D185" t="s">
        <v>10</v>
      </c>
      <c r="E185">
        <v>4</v>
      </c>
      <c r="F185">
        <v>350</v>
      </c>
      <c r="G185" s="6">
        <v>1400</v>
      </c>
    </row>
    <row r="186" spans="1:7" x14ac:dyDescent="0.25">
      <c r="A186" s="2">
        <v>45552</v>
      </c>
      <c r="B186" t="s">
        <v>17</v>
      </c>
      <c r="C186" t="s">
        <v>23</v>
      </c>
      <c r="D186" t="s">
        <v>15</v>
      </c>
      <c r="E186">
        <v>5</v>
      </c>
      <c r="F186">
        <v>800</v>
      </c>
      <c r="G186" s="6">
        <v>4000</v>
      </c>
    </row>
    <row r="187" spans="1:7" x14ac:dyDescent="0.25">
      <c r="A187" s="2">
        <v>45504</v>
      </c>
      <c r="B187" t="s">
        <v>19</v>
      </c>
      <c r="C187" t="s">
        <v>23</v>
      </c>
      <c r="D187" t="s">
        <v>21</v>
      </c>
      <c r="E187">
        <v>5</v>
      </c>
      <c r="F187">
        <v>500</v>
      </c>
      <c r="G187" s="6">
        <v>2500</v>
      </c>
    </row>
    <row r="188" spans="1:7" x14ac:dyDescent="0.25">
      <c r="A188" s="2">
        <v>45444</v>
      </c>
      <c r="B188" t="s">
        <v>13</v>
      </c>
      <c r="C188" t="s">
        <v>14</v>
      </c>
      <c r="D188" t="s">
        <v>16</v>
      </c>
      <c r="E188">
        <v>8</v>
      </c>
      <c r="F188">
        <v>350</v>
      </c>
      <c r="G188" s="6">
        <v>2800</v>
      </c>
    </row>
    <row r="189" spans="1:7" x14ac:dyDescent="0.25">
      <c r="A189" s="2">
        <v>45539</v>
      </c>
      <c r="B189" t="s">
        <v>19</v>
      </c>
      <c r="C189" t="s">
        <v>11</v>
      </c>
      <c r="D189" t="s">
        <v>21</v>
      </c>
      <c r="E189">
        <v>9</v>
      </c>
      <c r="F189">
        <v>200</v>
      </c>
      <c r="G189" s="6">
        <v>1800</v>
      </c>
    </row>
    <row r="190" spans="1:7" x14ac:dyDescent="0.25">
      <c r="A190" s="2">
        <v>45525</v>
      </c>
      <c r="B190" t="s">
        <v>17</v>
      </c>
      <c r="C190" t="s">
        <v>22</v>
      </c>
      <c r="D190" t="s">
        <v>21</v>
      </c>
      <c r="E190">
        <v>4</v>
      </c>
      <c r="F190">
        <v>350</v>
      </c>
      <c r="G190" s="6">
        <v>1400</v>
      </c>
    </row>
    <row r="191" spans="1:7" x14ac:dyDescent="0.25">
      <c r="A191" s="2">
        <v>45488</v>
      </c>
      <c r="B191" t="s">
        <v>13</v>
      </c>
      <c r="C191" t="s">
        <v>23</v>
      </c>
      <c r="D191" t="s">
        <v>9</v>
      </c>
      <c r="E191">
        <v>6</v>
      </c>
      <c r="F191">
        <v>500</v>
      </c>
      <c r="G191" s="6">
        <v>3000</v>
      </c>
    </row>
    <row r="192" spans="1:7" x14ac:dyDescent="0.25">
      <c r="A192" s="2">
        <v>45534</v>
      </c>
      <c r="B192" t="s">
        <v>13</v>
      </c>
      <c r="C192" t="s">
        <v>20</v>
      </c>
      <c r="D192" t="s">
        <v>15</v>
      </c>
      <c r="E192">
        <v>3</v>
      </c>
      <c r="F192">
        <v>200</v>
      </c>
      <c r="G192" s="6">
        <v>600</v>
      </c>
    </row>
    <row r="193" spans="1:7" x14ac:dyDescent="0.25">
      <c r="A193" s="2">
        <v>45310</v>
      </c>
      <c r="B193" t="s">
        <v>19</v>
      </c>
      <c r="C193" t="s">
        <v>23</v>
      </c>
      <c r="D193" t="s">
        <v>9</v>
      </c>
      <c r="E193">
        <v>8</v>
      </c>
      <c r="F193">
        <v>50</v>
      </c>
      <c r="G193" s="6">
        <v>400</v>
      </c>
    </row>
    <row r="194" spans="1:7" x14ac:dyDescent="0.25">
      <c r="A194" s="2">
        <v>45561</v>
      </c>
      <c r="B194" t="s">
        <v>7</v>
      </c>
      <c r="C194" t="s">
        <v>22</v>
      </c>
      <c r="D194" t="s">
        <v>10</v>
      </c>
      <c r="E194">
        <v>3</v>
      </c>
      <c r="F194">
        <v>200</v>
      </c>
      <c r="G194" s="6">
        <v>600</v>
      </c>
    </row>
    <row r="195" spans="1:7" x14ac:dyDescent="0.25">
      <c r="A195" s="2">
        <v>45627</v>
      </c>
      <c r="B195" t="s">
        <v>7</v>
      </c>
      <c r="C195" t="s">
        <v>20</v>
      </c>
      <c r="D195" t="s">
        <v>9</v>
      </c>
      <c r="E195">
        <v>5</v>
      </c>
      <c r="F195">
        <v>120</v>
      </c>
      <c r="G195" s="6">
        <v>600</v>
      </c>
    </row>
    <row r="196" spans="1:7" x14ac:dyDescent="0.25">
      <c r="A196" s="2">
        <v>45611</v>
      </c>
      <c r="B196" t="s">
        <v>13</v>
      </c>
      <c r="C196" t="s">
        <v>22</v>
      </c>
      <c r="D196" t="s">
        <v>15</v>
      </c>
      <c r="E196">
        <v>2</v>
      </c>
      <c r="F196">
        <v>800</v>
      </c>
      <c r="G196" s="6">
        <v>1600</v>
      </c>
    </row>
    <row r="197" spans="1:7" x14ac:dyDescent="0.25">
      <c r="A197" s="2">
        <v>45460</v>
      </c>
      <c r="B197" t="s">
        <v>13</v>
      </c>
      <c r="C197" t="s">
        <v>18</v>
      </c>
      <c r="D197" t="s">
        <v>16</v>
      </c>
      <c r="E197">
        <v>8</v>
      </c>
      <c r="F197">
        <v>800</v>
      </c>
      <c r="G197" s="6">
        <v>6400</v>
      </c>
    </row>
    <row r="198" spans="1:7" x14ac:dyDescent="0.25">
      <c r="A198" s="2">
        <v>45569</v>
      </c>
      <c r="B198" t="s">
        <v>7</v>
      </c>
      <c r="C198" t="s">
        <v>14</v>
      </c>
      <c r="D198" t="s">
        <v>8</v>
      </c>
      <c r="E198">
        <v>5</v>
      </c>
      <c r="F198">
        <v>80</v>
      </c>
      <c r="G198" s="6">
        <v>400</v>
      </c>
    </row>
    <row r="199" spans="1:7" x14ac:dyDescent="0.25">
      <c r="A199" s="2">
        <v>45338</v>
      </c>
      <c r="B199" t="s">
        <v>7</v>
      </c>
      <c r="C199" t="s">
        <v>22</v>
      </c>
      <c r="D199" t="s">
        <v>10</v>
      </c>
      <c r="E199">
        <v>2</v>
      </c>
      <c r="F199">
        <v>200</v>
      </c>
      <c r="G199" s="6">
        <v>400</v>
      </c>
    </row>
    <row r="200" spans="1:7" x14ac:dyDescent="0.25">
      <c r="A200" s="2">
        <v>45377</v>
      </c>
      <c r="B200" t="s">
        <v>19</v>
      </c>
      <c r="C200" t="s">
        <v>23</v>
      </c>
      <c r="D200" t="s">
        <v>15</v>
      </c>
      <c r="E200">
        <v>1</v>
      </c>
      <c r="F200">
        <v>120</v>
      </c>
      <c r="G200" s="6">
        <v>120</v>
      </c>
    </row>
    <row r="201" spans="1:7" x14ac:dyDescent="0.25">
      <c r="A201" s="2">
        <v>45320</v>
      </c>
      <c r="B201" t="s">
        <v>19</v>
      </c>
      <c r="C201" t="s">
        <v>18</v>
      </c>
      <c r="D201" t="s">
        <v>21</v>
      </c>
      <c r="E201">
        <v>7</v>
      </c>
      <c r="F201">
        <v>80</v>
      </c>
      <c r="G201" s="6">
        <v>560</v>
      </c>
    </row>
  </sheetData>
  <conditionalFormatting sqref="A1:G201">
    <cfRule type="containsErrors" dxfId="0" priority="1">
      <formula>ISERROR(A1)</formula>
    </cfRule>
  </conditionalFormatting>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23E15-CD23-48BB-A1F1-F00BBF5A54D2}">
  <dimension ref="A1:G43"/>
  <sheetViews>
    <sheetView workbookViewId="0">
      <selection activeCell="A33" sqref="A33:C33"/>
    </sheetView>
  </sheetViews>
  <sheetFormatPr defaultRowHeight="15" x14ac:dyDescent="0.25"/>
  <cols>
    <col min="1" max="1" width="13.140625" bestFit="1" customWidth="1"/>
    <col min="2" max="2" width="18.5703125" bestFit="1" customWidth="1"/>
    <col min="5" max="5" width="13.140625" bestFit="1" customWidth="1"/>
    <col min="6" max="6" width="16.7109375" bestFit="1" customWidth="1"/>
  </cols>
  <sheetData>
    <row r="1" spans="1:3" x14ac:dyDescent="0.25">
      <c r="A1" s="11" t="s">
        <v>43</v>
      </c>
      <c r="B1" s="11"/>
      <c r="C1" s="11"/>
    </row>
    <row r="3" spans="1:3" x14ac:dyDescent="0.25">
      <c r="A3" s="4" t="s">
        <v>29</v>
      </c>
      <c r="B3" t="s">
        <v>31</v>
      </c>
    </row>
    <row r="4" spans="1:3" x14ac:dyDescent="0.25">
      <c r="A4" s="5" t="s">
        <v>12</v>
      </c>
      <c r="B4" s="6">
        <v>57470</v>
      </c>
    </row>
    <row r="5" spans="1:3" x14ac:dyDescent="0.25">
      <c r="A5" s="5" t="s">
        <v>10</v>
      </c>
      <c r="B5" s="6">
        <v>52790</v>
      </c>
    </row>
    <row r="6" spans="1:3" x14ac:dyDescent="0.25">
      <c r="A6" s="5" t="s">
        <v>21</v>
      </c>
      <c r="B6" s="6">
        <v>49950</v>
      </c>
    </row>
    <row r="7" spans="1:3" x14ac:dyDescent="0.25">
      <c r="A7" s="5" t="s">
        <v>9</v>
      </c>
      <c r="B7" s="6">
        <v>48670</v>
      </c>
    </row>
    <row r="8" spans="1:3" x14ac:dyDescent="0.25">
      <c r="A8" s="5" t="s">
        <v>16</v>
      </c>
      <c r="B8" s="6">
        <v>47460</v>
      </c>
    </row>
    <row r="9" spans="1:3" x14ac:dyDescent="0.25">
      <c r="A9" s="5" t="s">
        <v>15</v>
      </c>
      <c r="B9" s="6">
        <v>45540</v>
      </c>
    </row>
    <row r="10" spans="1:3" x14ac:dyDescent="0.25">
      <c r="A10" s="5" t="s">
        <v>8</v>
      </c>
      <c r="B10" s="6">
        <v>34050</v>
      </c>
    </row>
    <row r="11" spans="1:3" x14ac:dyDescent="0.25">
      <c r="A11" s="5" t="s">
        <v>30</v>
      </c>
      <c r="B11" s="6">
        <v>335930</v>
      </c>
    </row>
    <row r="13" spans="1:3" x14ac:dyDescent="0.25">
      <c r="A13" s="11" t="s">
        <v>44</v>
      </c>
      <c r="B13" s="11"/>
      <c r="C13" s="11"/>
    </row>
    <row r="15" spans="1:3" x14ac:dyDescent="0.25">
      <c r="A15" s="4" t="s">
        <v>29</v>
      </c>
      <c r="B15" t="s">
        <v>31</v>
      </c>
    </row>
    <row r="16" spans="1:3" x14ac:dyDescent="0.25">
      <c r="A16" s="5" t="s">
        <v>22</v>
      </c>
      <c r="B16" s="6">
        <v>79280</v>
      </c>
    </row>
    <row r="17" spans="1:7" x14ac:dyDescent="0.25">
      <c r="A17" s="5" t="s">
        <v>20</v>
      </c>
      <c r="B17" s="6">
        <v>59620</v>
      </c>
    </row>
    <row r="18" spans="1:7" x14ac:dyDescent="0.25">
      <c r="A18" s="5" t="s">
        <v>23</v>
      </c>
      <c r="B18" s="6">
        <v>56270</v>
      </c>
    </row>
    <row r="19" spans="1:7" x14ac:dyDescent="0.25">
      <c r="A19" s="5" t="s">
        <v>14</v>
      </c>
      <c r="B19" s="6">
        <v>51990</v>
      </c>
    </row>
    <row r="20" spans="1:7" x14ac:dyDescent="0.25">
      <c r="A20" s="5" t="s">
        <v>18</v>
      </c>
      <c r="B20" s="6">
        <v>44750</v>
      </c>
    </row>
    <row r="21" spans="1:7" x14ac:dyDescent="0.25">
      <c r="A21" s="5" t="s">
        <v>11</v>
      </c>
      <c r="B21" s="6">
        <v>44020</v>
      </c>
    </row>
    <row r="22" spans="1:7" x14ac:dyDescent="0.25">
      <c r="A22" s="5" t="s">
        <v>30</v>
      </c>
      <c r="B22" s="6">
        <v>335930</v>
      </c>
    </row>
    <row r="24" spans="1:7" x14ac:dyDescent="0.25">
      <c r="A24" s="11" t="s">
        <v>45</v>
      </c>
      <c r="B24" s="11"/>
      <c r="C24" s="11"/>
      <c r="E24" s="11" t="s">
        <v>34</v>
      </c>
      <c r="F24" s="11"/>
      <c r="G24" s="11"/>
    </row>
    <row r="26" spans="1:7" x14ac:dyDescent="0.25">
      <c r="A26" s="4" t="s">
        <v>29</v>
      </c>
      <c r="B26" t="s">
        <v>31</v>
      </c>
      <c r="E26" s="4" t="s">
        <v>29</v>
      </c>
      <c r="F26" t="s">
        <v>33</v>
      </c>
    </row>
    <row r="27" spans="1:7" x14ac:dyDescent="0.25">
      <c r="A27" s="5" t="s">
        <v>13</v>
      </c>
      <c r="B27" s="6">
        <v>93670</v>
      </c>
      <c r="E27" s="5" t="s">
        <v>9</v>
      </c>
      <c r="F27" s="12">
        <v>208</v>
      </c>
    </row>
    <row r="28" spans="1:7" x14ac:dyDescent="0.25">
      <c r="A28" s="5" t="s">
        <v>7</v>
      </c>
      <c r="B28" s="6">
        <v>89310</v>
      </c>
      <c r="E28" s="5" t="s">
        <v>10</v>
      </c>
      <c r="F28" s="12">
        <v>177</v>
      </c>
    </row>
    <row r="29" spans="1:7" x14ac:dyDescent="0.25">
      <c r="A29" s="5" t="s">
        <v>17</v>
      </c>
      <c r="B29" s="6">
        <v>81800</v>
      </c>
      <c r="E29" s="5" t="s">
        <v>12</v>
      </c>
      <c r="F29" s="12">
        <v>157</v>
      </c>
    </row>
    <row r="30" spans="1:7" x14ac:dyDescent="0.25">
      <c r="A30" s="5" t="s">
        <v>19</v>
      </c>
      <c r="B30" s="6">
        <v>71150</v>
      </c>
      <c r="E30" s="5" t="s">
        <v>21</v>
      </c>
      <c r="F30" s="12">
        <v>141</v>
      </c>
    </row>
    <row r="31" spans="1:7" x14ac:dyDescent="0.25">
      <c r="A31" s="5" t="s">
        <v>30</v>
      </c>
      <c r="B31" s="6">
        <v>335930</v>
      </c>
      <c r="E31" s="5" t="s">
        <v>8</v>
      </c>
      <c r="F31" s="12">
        <v>138</v>
      </c>
    </row>
    <row r="32" spans="1:7" x14ac:dyDescent="0.25">
      <c r="E32" s="5" t="s">
        <v>16</v>
      </c>
      <c r="F32" s="12">
        <v>124</v>
      </c>
    </row>
    <row r="33" spans="1:6" x14ac:dyDescent="0.25">
      <c r="A33" s="11" t="s">
        <v>32</v>
      </c>
      <c r="B33" s="11"/>
      <c r="C33" s="11"/>
      <c r="E33" s="5" t="s">
        <v>15</v>
      </c>
      <c r="F33" s="12">
        <v>117</v>
      </c>
    </row>
    <row r="34" spans="1:6" x14ac:dyDescent="0.25">
      <c r="E34" s="5" t="s">
        <v>30</v>
      </c>
      <c r="F34" s="12">
        <v>1062</v>
      </c>
    </row>
    <row r="35" spans="1:6" x14ac:dyDescent="0.25">
      <c r="A35" s="4" t="s">
        <v>29</v>
      </c>
      <c r="B35" t="s">
        <v>31</v>
      </c>
    </row>
    <row r="36" spans="1:6" x14ac:dyDescent="0.25">
      <c r="A36" s="5" t="s">
        <v>12</v>
      </c>
      <c r="B36" s="7">
        <v>0.17107730777245259</v>
      </c>
    </row>
    <row r="37" spans="1:6" x14ac:dyDescent="0.25">
      <c r="A37" s="5" t="s">
        <v>10</v>
      </c>
      <c r="B37" s="7">
        <v>0.15714583395350221</v>
      </c>
    </row>
    <row r="38" spans="1:6" x14ac:dyDescent="0.25">
      <c r="A38" s="5" t="s">
        <v>21</v>
      </c>
      <c r="B38" s="7">
        <v>0.14869169172148961</v>
      </c>
    </row>
    <row r="39" spans="1:6" x14ac:dyDescent="0.25">
      <c r="A39" s="5" t="s">
        <v>9</v>
      </c>
      <c r="B39" s="7">
        <v>0.14488137409579377</v>
      </c>
    </row>
    <row r="40" spans="1:6" x14ac:dyDescent="0.25">
      <c r="A40" s="5" t="s">
        <v>16</v>
      </c>
      <c r="B40" s="7">
        <v>0.14127943321525319</v>
      </c>
    </row>
    <row r="41" spans="1:6" x14ac:dyDescent="0.25">
      <c r="A41" s="5" t="s">
        <v>15</v>
      </c>
      <c r="B41" s="7">
        <v>0.13556395677670943</v>
      </c>
    </row>
    <row r="42" spans="1:6" x14ac:dyDescent="0.25">
      <c r="A42" s="5" t="s">
        <v>8</v>
      </c>
      <c r="B42" s="7">
        <v>0.10136040246479922</v>
      </c>
    </row>
    <row r="43" spans="1:6" x14ac:dyDescent="0.25">
      <c r="A43" s="5" t="s">
        <v>30</v>
      </c>
      <c r="B43" s="7">
        <v>1</v>
      </c>
    </row>
  </sheetData>
  <mergeCells count="5">
    <mergeCell ref="A1:C1"/>
    <mergeCell ref="A13:C13"/>
    <mergeCell ref="A24:C24"/>
    <mergeCell ref="A33:C33"/>
    <mergeCell ref="E24:G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60CF0-28F2-4801-81A3-88F3E31FA8C5}">
  <dimension ref="A13:K59"/>
  <sheetViews>
    <sheetView topLeftCell="A34" workbookViewId="0">
      <selection activeCell="E60" sqref="E60"/>
    </sheetView>
  </sheetViews>
  <sheetFormatPr defaultRowHeight="15" x14ac:dyDescent="0.25"/>
  <cols>
    <col min="1" max="1" width="13.140625" bestFit="1" customWidth="1"/>
    <col min="2" max="2" width="18.5703125" bestFit="1" customWidth="1"/>
    <col min="5" max="5" width="13.42578125" customWidth="1"/>
  </cols>
  <sheetData>
    <row r="13" spans="1:8" x14ac:dyDescent="0.25">
      <c r="A13" s="4" t="s">
        <v>29</v>
      </c>
      <c r="B13" t="s">
        <v>31</v>
      </c>
      <c r="H13" s="8" t="s">
        <v>35</v>
      </c>
    </row>
    <row r="14" spans="1:8" x14ac:dyDescent="0.25">
      <c r="A14" s="5" t="s">
        <v>12</v>
      </c>
      <c r="B14" s="6">
        <v>57470</v>
      </c>
    </row>
    <row r="15" spans="1:8" x14ac:dyDescent="0.25">
      <c r="A15" s="5" t="s">
        <v>10</v>
      </c>
      <c r="B15" s="6">
        <v>52790</v>
      </c>
    </row>
    <row r="16" spans="1:8" x14ac:dyDescent="0.25">
      <c r="A16" s="5" t="s">
        <v>21</v>
      </c>
      <c r="B16" s="6">
        <v>49950</v>
      </c>
    </row>
    <row r="17" spans="1:11" x14ac:dyDescent="0.25">
      <c r="A17" s="5" t="s">
        <v>9</v>
      </c>
      <c r="B17" s="6">
        <v>48670</v>
      </c>
    </row>
    <row r="18" spans="1:11" x14ac:dyDescent="0.25">
      <c r="A18" s="5" t="s">
        <v>16</v>
      </c>
      <c r="B18" s="6">
        <v>47460</v>
      </c>
    </row>
    <row r="19" spans="1:11" x14ac:dyDescent="0.25">
      <c r="A19" s="5" t="s">
        <v>15</v>
      </c>
      <c r="B19" s="6">
        <v>45540</v>
      </c>
    </row>
    <row r="20" spans="1:11" x14ac:dyDescent="0.25">
      <c r="A20" s="5" t="s">
        <v>8</v>
      </c>
      <c r="B20" s="6">
        <v>34050</v>
      </c>
    </row>
    <row r="21" spans="1:11" x14ac:dyDescent="0.25">
      <c r="A21" s="5" t="s">
        <v>30</v>
      </c>
      <c r="B21" s="6">
        <v>335930</v>
      </c>
    </row>
    <row r="30" spans="1:11" x14ac:dyDescent="0.25">
      <c r="E30" s="10" t="s">
        <v>36</v>
      </c>
      <c r="F30" s="10"/>
      <c r="G30" s="10"/>
      <c r="H30" s="10"/>
      <c r="I30" s="10"/>
      <c r="J30" s="10"/>
      <c r="K30" s="10"/>
    </row>
    <row r="38" spans="1:2" x14ac:dyDescent="0.25">
      <c r="A38" s="4" t="s">
        <v>29</v>
      </c>
      <c r="B38" t="s">
        <v>31</v>
      </c>
    </row>
    <row r="39" spans="1:2" x14ac:dyDescent="0.25">
      <c r="A39" s="5" t="s">
        <v>22</v>
      </c>
      <c r="B39" s="6">
        <v>79280</v>
      </c>
    </row>
    <row r="40" spans="1:2" x14ac:dyDescent="0.25">
      <c r="A40" s="5" t="s">
        <v>20</v>
      </c>
      <c r="B40" s="6">
        <v>59620</v>
      </c>
    </row>
    <row r="41" spans="1:2" x14ac:dyDescent="0.25">
      <c r="A41" s="5" t="s">
        <v>23</v>
      </c>
      <c r="B41" s="6">
        <v>56270</v>
      </c>
    </row>
    <row r="42" spans="1:2" x14ac:dyDescent="0.25">
      <c r="A42" s="5" t="s">
        <v>14</v>
      </c>
      <c r="B42" s="6">
        <v>51990</v>
      </c>
    </row>
    <row r="43" spans="1:2" x14ac:dyDescent="0.25">
      <c r="A43" s="5" t="s">
        <v>18</v>
      </c>
      <c r="B43" s="6">
        <v>44750</v>
      </c>
    </row>
    <row r="44" spans="1:2" x14ac:dyDescent="0.25">
      <c r="A44" s="5" t="s">
        <v>11</v>
      </c>
      <c r="B44" s="6">
        <v>44020</v>
      </c>
    </row>
    <row r="45" spans="1:2" x14ac:dyDescent="0.25">
      <c r="A45" s="5" t="s">
        <v>30</v>
      </c>
      <c r="B45" s="6">
        <v>335930</v>
      </c>
    </row>
    <row r="49" spans="2:3" x14ac:dyDescent="0.25">
      <c r="B49" s="9" t="s">
        <v>37</v>
      </c>
    </row>
    <row r="50" spans="2:3" x14ac:dyDescent="0.25">
      <c r="B50" t="s">
        <v>38</v>
      </c>
    </row>
    <row r="51" spans="2:3" x14ac:dyDescent="0.25">
      <c r="B51" t="s">
        <v>39</v>
      </c>
    </row>
    <row r="52" spans="2:3" x14ac:dyDescent="0.25">
      <c r="B52" t="s">
        <v>40</v>
      </c>
    </row>
    <row r="53" spans="2:3" x14ac:dyDescent="0.25">
      <c r="B53" t="s">
        <v>41</v>
      </c>
    </row>
    <row r="54" spans="2:3" x14ac:dyDescent="0.25">
      <c r="B54" t="s">
        <v>42</v>
      </c>
    </row>
    <row r="58" spans="2:3" x14ac:dyDescent="0.25">
      <c r="B58" s="6">
        <f>SUM(B14:B20)</f>
        <v>335930</v>
      </c>
      <c r="C58" t="str">
        <f>INDEX(Pivot!A4:A10, MATCH(MAX(Pivot!B4:B10), Pivot!B4:B10, 0))</f>
        <v>Headphones</v>
      </c>
    </row>
    <row r="59" spans="2:3" x14ac:dyDescent="0.25">
      <c r="B59">
        <f>SUM(Pivot!F27:F33)</f>
        <v>1062</v>
      </c>
      <c r="C59" t="str">
        <f>INDEX(Dashboard!A39:A44, MATCH(MAX(Dashboard!B39:B44), Dashboard!B39:B44, 0))</f>
        <v>Elish</v>
      </c>
    </row>
  </sheetData>
  <mergeCells count="1">
    <mergeCell ref="E30:K30"/>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D84DC-8638-448F-A69B-8A03DAD5F14E}">
  <dimension ref="A3:C24"/>
  <sheetViews>
    <sheetView tabSelected="1" topLeftCell="A2" workbookViewId="0">
      <selection activeCell="C4" sqref="C4"/>
    </sheetView>
  </sheetViews>
  <sheetFormatPr defaultRowHeight="15" x14ac:dyDescent="0.25"/>
  <cols>
    <col min="1" max="1" width="13.140625" bestFit="1" customWidth="1"/>
    <col min="2" max="2" width="18.5703125" bestFit="1" customWidth="1"/>
    <col min="3" max="3" width="20.7109375" customWidth="1"/>
  </cols>
  <sheetData>
    <row r="3" spans="1:3" x14ac:dyDescent="0.25">
      <c r="A3" s="4" t="s">
        <v>60</v>
      </c>
      <c r="B3" t="s">
        <v>31</v>
      </c>
      <c r="C3" t="s">
        <v>63</v>
      </c>
    </row>
    <row r="4" spans="1:3" x14ac:dyDescent="0.25">
      <c r="A4" s="5" t="s">
        <v>46</v>
      </c>
      <c r="B4" s="6">
        <v>22830</v>
      </c>
      <c r="C4" t="e">
        <f>IF(OR(B4=MAX($B$4:$B$15), B4=MIN($B$4:$B$15)), B4, NA())</f>
        <v>#N/A</v>
      </c>
    </row>
    <row r="5" spans="1:3" x14ac:dyDescent="0.25">
      <c r="A5" s="5" t="s">
        <v>47</v>
      </c>
      <c r="B5" s="6">
        <v>29180</v>
      </c>
      <c r="C5" t="e">
        <f t="shared" ref="C5:C15" si="0">IF(OR(B5=MAX($B$4:$B$15), B5=MIN($B$4:$B$15)), B5, NA())</f>
        <v>#N/A</v>
      </c>
    </row>
    <row r="6" spans="1:3" x14ac:dyDescent="0.25">
      <c r="A6" s="5" t="s">
        <v>48</v>
      </c>
      <c r="B6" s="6">
        <v>31100</v>
      </c>
      <c r="C6" t="e">
        <f t="shared" si="0"/>
        <v>#N/A</v>
      </c>
    </row>
    <row r="7" spans="1:3" x14ac:dyDescent="0.25">
      <c r="A7" s="5" t="s">
        <v>49</v>
      </c>
      <c r="B7" s="6">
        <v>21040</v>
      </c>
      <c r="C7" t="e">
        <f t="shared" si="0"/>
        <v>#N/A</v>
      </c>
    </row>
    <row r="8" spans="1:3" x14ac:dyDescent="0.25">
      <c r="A8" s="5" t="s">
        <v>50</v>
      </c>
      <c r="B8" s="6">
        <v>39340</v>
      </c>
      <c r="C8">
        <f t="shared" si="0"/>
        <v>39340</v>
      </c>
    </row>
    <row r="9" spans="1:3" x14ac:dyDescent="0.25">
      <c r="A9" s="5" t="s">
        <v>51</v>
      </c>
      <c r="B9" s="6">
        <v>25770</v>
      </c>
      <c r="C9" t="e">
        <f t="shared" si="0"/>
        <v>#N/A</v>
      </c>
    </row>
    <row r="10" spans="1:3" x14ac:dyDescent="0.25">
      <c r="A10" s="5" t="s">
        <v>52</v>
      </c>
      <c r="B10" s="6">
        <v>30360</v>
      </c>
      <c r="C10" t="e">
        <f t="shared" si="0"/>
        <v>#N/A</v>
      </c>
    </row>
    <row r="11" spans="1:3" x14ac:dyDescent="0.25">
      <c r="A11" s="5" t="s">
        <v>53</v>
      </c>
      <c r="B11" s="6">
        <v>33680</v>
      </c>
      <c r="C11" t="e">
        <f t="shared" si="0"/>
        <v>#N/A</v>
      </c>
    </row>
    <row r="12" spans="1:3" x14ac:dyDescent="0.25">
      <c r="A12" s="5" t="s">
        <v>54</v>
      </c>
      <c r="B12" s="6">
        <v>19190</v>
      </c>
      <c r="C12">
        <f t="shared" si="0"/>
        <v>19190</v>
      </c>
    </row>
    <row r="13" spans="1:3" x14ac:dyDescent="0.25">
      <c r="A13" s="5" t="s">
        <v>55</v>
      </c>
      <c r="B13" s="6">
        <v>31630</v>
      </c>
      <c r="C13" t="e">
        <f t="shared" si="0"/>
        <v>#N/A</v>
      </c>
    </row>
    <row r="14" spans="1:3" x14ac:dyDescent="0.25">
      <c r="A14" s="5" t="s">
        <v>56</v>
      </c>
      <c r="B14" s="6">
        <v>19450</v>
      </c>
      <c r="C14" t="e">
        <f t="shared" si="0"/>
        <v>#N/A</v>
      </c>
    </row>
    <row r="15" spans="1:3" x14ac:dyDescent="0.25">
      <c r="A15" s="5" t="s">
        <v>57</v>
      </c>
      <c r="B15" s="6">
        <v>32360</v>
      </c>
      <c r="C15" t="e">
        <f t="shared" si="0"/>
        <v>#N/A</v>
      </c>
    </row>
    <row r="16" spans="1:3" x14ac:dyDescent="0.25">
      <c r="A16" s="5" t="s">
        <v>30</v>
      </c>
      <c r="B16" s="6">
        <v>335930</v>
      </c>
    </row>
    <row r="21" spans="2:2" x14ac:dyDescent="0.25">
      <c r="B21" t="s">
        <v>58</v>
      </c>
    </row>
    <row r="22" spans="2:2" x14ac:dyDescent="0.25">
      <c r="B22" t="s">
        <v>59</v>
      </c>
    </row>
    <row r="23" spans="2:2" x14ac:dyDescent="0.25">
      <c r="B23" t="s">
        <v>61</v>
      </c>
    </row>
    <row r="24" spans="2:2" x14ac:dyDescent="0.25">
      <c r="B24" t="s">
        <v>62</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07799F-5E69-41CC-97B6-ED9A36E548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vt:lpstr>
      <vt:lpstr>Dashboard</vt:lpstr>
      <vt:lpstr>Time Series Analysis_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Unique Ak</dc:creator>
  <cp:lastModifiedBy>Unique Ak</cp:lastModifiedBy>
  <dcterms:created xsi:type="dcterms:W3CDTF">2026-03-18T23:13:58Z</dcterms:created>
  <dcterms:modified xsi:type="dcterms:W3CDTF">2026-03-24T07:19:06Z</dcterms:modified>
</cp:coreProperties>
</file>